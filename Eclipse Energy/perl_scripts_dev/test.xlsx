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00" yWindow="-15" windowWidth="9645" windowHeight="1194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G73" i="1"/>
  <c r="E73"/>
  <c r="B73"/>
  <c r="D73" s="1"/>
  <c r="E52"/>
  <c r="E16"/>
  <c r="G16" s="1"/>
  <c r="E17"/>
  <c r="G17" s="1"/>
  <c r="E18"/>
  <c r="G18" s="1"/>
  <c r="E19"/>
  <c r="G19" s="1"/>
  <c r="E20"/>
  <c r="G20" s="1"/>
  <c r="E21"/>
  <c r="G21" s="1"/>
  <c r="E22"/>
  <c r="G22" s="1"/>
  <c r="E23"/>
  <c r="G23" s="1"/>
  <c r="E24"/>
  <c r="G24" s="1"/>
  <c r="E25"/>
  <c r="G25" s="1"/>
  <c r="E26"/>
  <c r="G26" s="1"/>
  <c r="E27"/>
  <c r="G27" s="1"/>
  <c r="E28"/>
  <c r="G28" s="1"/>
  <c r="E29"/>
  <c r="G29" s="1"/>
  <c r="E30"/>
  <c r="G30" s="1"/>
  <c r="E31"/>
  <c r="G31" s="1"/>
  <c r="E32"/>
  <c r="G32" s="1"/>
  <c r="E33"/>
  <c r="G33" s="1"/>
  <c r="E34"/>
  <c r="G34" s="1"/>
  <c r="E35"/>
  <c r="G35" s="1"/>
  <c r="E36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E47"/>
  <c r="G47" s="1"/>
  <c r="E48"/>
  <c r="G48" s="1"/>
  <c r="E49"/>
  <c r="G49" s="1"/>
  <c r="E50"/>
  <c r="G50" s="1"/>
  <c r="E51"/>
  <c r="G51" s="1"/>
  <c r="G52"/>
  <c r="E53"/>
  <c r="G53" s="1"/>
  <c r="E54"/>
  <c r="G54"/>
  <c r="E55"/>
  <c r="G55"/>
  <c r="E56"/>
  <c r="G56"/>
  <c r="E57"/>
  <c r="G57"/>
  <c r="E58"/>
  <c r="G58"/>
  <c r="E59"/>
  <c r="G59"/>
  <c r="E60"/>
  <c r="G60"/>
  <c r="E61"/>
  <c r="G61"/>
  <c r="E62"/>
  <c r="G62"/>
  <c r="E63"/>
  <c r="G63"/>
  <c r="E64"/>
  <c r="G64"/>
  <c r="E65"/>
  <c r="G65"/>
  <c r="E66"/>
  <c r="G66"/>
  <c r="E67"/>
  <c r="G67"/>
  <c r="E68"/>
  <c r="G68"/>
  <c r="E69"/>
  <c r="G69"/>
  <c r="E70"/>
  <c r="G70" s="1"/>
  <c r="E71"/>
  <c r="G71" s="1"/>
  <c r="E72"/>
  <c r="G72" s="1"/>
  <c r="E74"/>
  <c r="G74" s="1"/>
  <c r="E15"/>
  <c r="G15" s="1"/>
  <c r="B37"/>
  <c r="D37" s="1"/>
  <c r="B38"/>
  <c r="D38" s="1"/>
  <c r="B39"/>
  <c r="D39" s="1"/>
  <c r="B40"/>
  <c r="D40" s="1"/>
  <c r="B41"/>
  <c r="D41" s="1"/>
  <c r="B42"/>
  <c r="D42" s="1"/>
  <c r="B43"/>
  <c r="D43" s="1"/>
  <c r="B44"/>
  <c r="D44" s="1"/>
  <c r="B45"/>
  <c r="D45" s="1"/>
  <c r="B46"/>
  <c r="D46" s="1"/>
  <c r="B47"/>
  <c r="D47"/>
  <c r="B48"/>
  <c r="D48"/>
  <c r="B49"/>
  <c r="D49"/>
  <c r="B50"/>
  <c r="D50"/>
  <c r="B51"/>
  <c r="D51"/>
  <c r="B52"/>
  <c r="D52"/>
  <c r="B53"/>
  <c r="D53"/>
  <c r="B54"/>
  <c r="D54"/>
  <c r="B55"/>
  <c r="D55"/>
  <c r="B56"/>
  <c r="D56"/>
  <c r="B57"/>
  <c r="D57"/>
  <c r="B58"/>
  <c r="D58"/>
  <c r="B59"/>
  <c r="D59"/>
  <c r="B60"/>
  <c r="D60"/>
  <c r="B61"/>
  <c r="D61"/>
  <c r="B62"/>
  <c r="D62"/>
  <c r="B63"/>
  <c r="D63"/>
  <c r="B64"/>
  <c r="D64"/>
  <c r="B65"/>
  <c r="D65"/>
  <c r="B66"/>
  <c r="D66"/>
  <c r="B67"/>
  <c r="D67"/>
  <c r="B68"/>
  <c r="D68"/>
  <c r="B69"/>
  <c r="D69"/>
  <c r="B70"/>
  <c r="D70" s="1"/>
  <c r="B71"/>
  <c r="D71" s="1"/>
  <c r="B72"/>
  <c r="D72" s="1"/>
  <c r="B74"/>
  <c r="D74" s="1"/>
  <c r="B15"/>
  <c r="D15" s="1"/>
  <c r="B16"/>
  <c r="D16" s="1"/>
  <c r="B17"/>
  <c r="D17" s="1"/>
  <c r="B18"/>
  <c r="D18" s="1"/>
  <c r="B19"/>
  <c r="D19" s="1"/>
  <c r="B20"/>
  <c r="D20" s="1"/>
  <c r="B21"/>
  <c r="D21" s="1"/>
  <c r="B22"/>
  <c r="D22" s="1"/>
  <c r="B23"/>
  <c r="D23" s="1"/>
  <c r="B24"/>
  <c r="D24" s="1"/>
  <c r="B25"/>
  <c r="D25"/>
  <c r="B26"/>
  <c r="D26" s="1"/>
  <c r="B27"/>
  <c r="D27" s="1"/>
  <c r="B28"/>
  <c r="D28" s="1"/>
  <c r="B29"/>
  <c r="D29" s="1"/>
  <c r="B30"/>
  <c r="D30" s="1"/>
  <c r="B31"/>
  <c r="D31" s="1"/>
  <c r="B32"/>
  <c r="D32" s="1"/>
  <c r="B33"/>
  <c r="D33"/>
  <c r="B34"/>
  <c r="D34" s="1"/>
  <c r="B35"/>
  <c r="D35" s="1"/>
  <c r="B36"/>
  <c r="D36" s="1"/>
</calcChain>
</file>

<file path=xl/sharedStrings.xml><?xml version="1.0" encoding="utf-8"?>
<sst xmlns="http://schemas.openxmlformats.org/spreadsheetml/2006/main" count="13" uniqueCount="8">
  <si>
    <t>Gasday</t>
  </si>
  <si>
    <t>info.hub@huberator.com</t>
  </si>
  <si>
    <t>GWh</t>
  </si>
  <si>
    <t>Physical Throughput</t>
  </si>
  <si>
    <t>Traded Volume</t>
  </si>
  <si>
    <t>Huberator's statistics are based on net traded volumes. These represent Zeebrugge Hub members' nominated positions, which result from multy-trade combinations. Each position between two Zeebrugge members is reported once. The Gross Calorific Value used for calculation is 11,63 kWh/m³(n) or 41,868 MJ/m³(n).</t>
  </si>
  <si>
    <r>
      <t>10</t>
    </r>
    <r>
      <rPr>
        <b/>
        <vertAlign val="superscript"/>
        <sz val="10"/>
        <color indexed="9"/>
        <rFont val="Verdana"/>
        <family val="2"/>
      </rPr>
      <t>3</t>
    </r>
    <r>
      <rPr>
        <b/>
        <sz val="10"/>
        <color indexed="9"/>
        <rFont val="Verdana"/>
        <family val="2"/>
      </rPr>
      <t xml:space="preserve"> GJ</t>
    </r>
  </si>
  <si>
    <r>
      <t>10</t>
    </r>
    <r>
      <rPr>
        <b/>
        <vertAlign val="superscript"/>
        <sz val="10"/>
        <color indexed="9"/>
        <rFont val="Verdana"/>
        <family val="2"/>
      </rPr>
      <t xml:space="preserve">6 </t>
    </r>
    <r>
      <rPr>
        <b/>
        <sz val="10"/>
        <color indexed="9"/>
        <rFont val="Verdana"/>
        <family val="2"/>
      </rPr>
      <t>m</t>
    </r>
    <r>
      <rPr>
        <b/>
        <vertAlign val="superscript"/>
        <sz val="10"/>
        <color indexed="9"/>
        <rFont val="Verdana"/>
        <family val="2"/>
      </rPr>
      <t>3</t>
    </r>
    <r>
      <rPr>
        <b/>
        <sz val="10"/>
        <color indexed="9"/>
        <rFont val="Verdana"/>
        <family val="2"/>
      </rPr>
      <t>(n)</t>
    </r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</si>
</sst>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dd/mm/yy;@"/>
    <numFmt numFmtId="166" formatCode="0.0"/>
  </numFmts>
  <fonts count="10">
    <font>
      <sz val="10"/>
      <name val="Arial"/>
    </font>
    <font>
      <sz val="9"/>
      <name val="Verdana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8"/>
      <name val="Verdana"/>
      <family val="2"/>
    </font>
    <font>
      <b/>
      <sz val="9"/>
      <color indexed="9"/>
      <name val="Verdana"/>
      <family val="2"/>
    </font>
    <font>
      <sz val="10"/>
      <color indexed="9"/>
      <name val="Arial"/>
      <family val="2"/>
    </font>
    <font>
      <b/>
      <sz val="10"/>
      <color indexed="9"/>
      <name val="Verdana"/>
      <family val="2"/>
    </font>
    <font>
      <b/>
      <vertAlign val="superscript"/>
      <sz val="10"/>
      <color indexed="9"/>
      <name val="Verdana"/>
      <family val="2"/>
    </font>
    <font>
      <b/>
      <sz val="10"/>
      <color indexed="63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22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64"/>
      </patternFill>
    </fill>
  </fills>
  <borders count="32">
    <border>
      <left/>
      <right/>
      <top/>
      <bottom/>
      <diagonal/>
    </border>
    <border>
      <left style="medium">
        <color indexed="62"/>
      </left>
      <right style="medium">
        <color indexed="55"/>
      </right>
      <top/>
      <bottom/>
      <diagonal/>
    </border>
    <border>
      <left style="medium">
        <color indexed="62"/>
      </left>
      <right style="medium">
        <color indexed="55"/>
      </right>
      <top/>
      <bottom style="medium">
        <color indexed="62"/>
      </bottom>
      <diagonal/>
    </border>
    <border>
      <left/>
      <right style="dashed">
        <color indexed="23"/>
      </right>
      <top/>
      <bottom/>
      <diagonal/>
    </border>
    <border>
      <left style="dashed">
        <color indexed="23"/>
      </left>
      <right/>
      <top style="medium">
        <color indexed="62"/>
      </top>
      <bottom/>
      <diagonal/>
    </border>
    <border>
      <left style="medium">
        <color indexed="55"/>
      </left>
      <right style="dashed">
        <color indexed="23"/>
      </right>
      <top style="medium">
        <color indexed="62"/>
      </top>
      <bottom/>
      <diagonal/>
    </border>
    <border>
      <left/>
      <right style="medium">
        <color indexed="62"/>
      </right>
      <top/>
      <bottom/>
      <diagonal/>
    </border>
    <border>
      <left style="dashed">
        <color indexed="23"/>
      </left>
      <right/>
      <top/>
      <bottom/>
      <diagonal/>
    </border>
    <border>
      <left style="medium">
        <color indexed="55"/>
      </left>
      <right style="dashed">
        <color indexed="23"/>
      </right>
      <top/>
      <bottom/>
      <diagonal/>
    </border>
    <border>
      <left/>
      <right style="dashed">
        <color indexed="23"/>
      </right>
      <top/>
      <bottom style="medium">
        <color indexed="62"/>
      </bottom>
      <diagonal/>
    </border>
    <border>
      <left style="dashed">
        <color indexed="23"/>
      </left>
      <right/>
      <top/>
      <bottom style="medium">
        <color indexed="62"/>
      </bottom>
      <diagonal/>
    </border>
    <border>
      <left style="medium">
        <color indexed="55"/>
      </left>
      <right style="dashed">
        <color indexed="23"/>
      </right>
      <top/>
      <bottom style="medium">
        <color indexed="62"/>
      </bottom>
      <diagonal/>
    </border>
    <border>
      <left/>
      <right style="medium">
        <color indexed="62"/>
      </right>
      <top/>
      <bottom style="medium">
        <color indexed="62"/>
      </bottom>
      <diagonal/>
    </border>
    <border>
      <left style="dashed">
        <color indexed="23"/>
      </left>
      <right style="medium">
        <color indexed="55"/>
      </right>
      <top/>
      <bottom style="medium">
        <color indexed="62"/>
      </bottom>
      <diagonal/>
    </border>
    <border>
      <left style="dashed">
        <color indexed="23"/>
      </left>
      <right style="medium">
        <color indexed="55"/>
      </right>
      <top/>
      <bottom/>
      <diagonal/>
    </border>
    <border>
      <left style="dashed">
        <color indexed="23"/>
      </left>
      <right style="medium">
        <color indexed="62"/>
      </right>
      <top/>
      <bottom/>
      <diagonal/>
    </border>
    <border>
      <left/>
      <right/>
      <top/>
      <bottom style="medium">
        <color indexed="62"/>
      </bottom>
      <diagonal/>
    </border>
    <border>
      <left/>
      <right style="medium">
        <color indexed="23"/>
      </right>
      <top/>
      <bottom style="medium">
        <color indexed="62"/>
      </bottom>
      <diagonal/>
    </border>
    <border>
      <left style="medium">
        <color indexed="23"/>
      </left>
      <right/>
      <top/>
      <bottom style="medium">
        <color indexed="62"/>
      </bottom>
      <diagonal/>
    </border>
    <border>
      <left/>
      <right style="medium">
        <color indexed="18"/>
      </right>
      <top/>
      <bottom style="medium">
        <color indexed="62"/>
      </bottom>
      <diagonal/>
    </border>
    <border>
      <left style="medium">
        <color indexed="62"/>
      </left>
      <right/>
      <top/>
      <bottom style="medium">
        <color indexed="62"/>
      </bottom>
      <diagonal/>
    </border>
    <border>
      <left/>
      <right/>
      <top/>
      <bottom style="thin">
        <color indexed="64"/>
      </bottom>
      <diagonal/>
    </border>
    <border>
      <left style="dashed">
        <color indexed="23"/>
      </left>
      <right style="medium">
        <color indexed="23"/>
      </right>
      <top/>
      <bottom/>
      <diagonal/>
    </border>
    <border>
      <left style="medium">
        <color indexed="62"/>
      </left>
      <right/>
      <top/>
      <bottom/>
      <diagonal/>
    </border>
    <border>
      <left style="medium">
        <color indexed="62"/>
      </left>
      <right style="medium">
        <color indexed="62"/>
      </right>
      <top/>
      <bottom style="medium">
        <color indexed="55"/>
      </bottom>
      <diagonal/>
    </border>
    <border>
      <left style="medium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/>
      <bottom/>
      <diagonal/>
    </border>
    <border>
      <left/>
      <right style="medium">
        <color indexed="23"/>
      </right>
      <top/>
      <bottom/>
      <diagonal/>
    </border>
    <border>
      <left/>
      <right style="medium">
        <color indexed="18"/>
      </right>
      <top style="medium">
        <color indexed="23"/>
      </top>
      <bottom/>
      <diagonal/>
    </border>
    <border>
      <left/>
      <right style="medium">
        <color indexed="18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65" fontId="1" fillId="3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5" fontId="1" fillId="4" borderId="2" xfId="0" applyNumberFormat="1" applyFont="1" applyFill="1" applyBorder="1" applyAlignment="1">
      <alignment horizontal="center"/>
    </xf>
    <xf numFmtId="166" fontId="1" fillId="3" borderId="3" xfId="0" applyNumberFormat="1" applyFont="1" applyFill="1" applyBorder="1" applyAlignment="1">
      <alignment horizontal="center"/>
    </xf>
    <xf numFmtId="166" fontId="1" fillId="3" borderId="0" xfId="0" applyNumberFormat="1" applyFont="1" applyFill="1" applyBorder="1" applyAlignment="1">
      <alignment horizontal="center"/>
    </xf>
    <xf numFmtId="166" fontId="1" fillId="3" borderId="4" xfId="0" applyNumberFormat="1" applyFont="1" applyFill="1" applyBorder="1" applyAlignment="1">
      <alignment horizontal="center"/>
    </xf>
    <xf numFmtId="166" fontId="1" fillId="3" borderId="5" xfId="0" applyNumberFormat="1" applyFont="1" applyFill="1" applyBorder="1" applyAlignment="1">
      <alignment horizontal="center"/>
    </xf>
    <xf numFmtId="166" fontId="1" fillId="3" borderId="6" xfId="0" applyNumberFormat="1" applyFont="1" applyFill="1" applyBorder="1" applyAlignment="1">
      <alignment horizontal="center"/>
    </xf>
    <xf numFmtId="166" fontId="1" fillId="5" borderId="3" xfId="0" applyNumberFormat="1" applyFont="1" applyFill="1" applyBorder="1" applyAlignment="1">
      <alignment horizontal="center"/>
    </xf>
    <xf numFmtId="166" fontId="1" fillId="5" borderId="0" xfId="0" applyNumberFormat="1" applyFont="1" applyFill="1" applyBorder="1" applyAlignment="1">
      <alignment horizontal="center"/>
    </xf>
    <xf numFmtId="166" fontId="1" fillId="5" borderId="7" xfId="0" applyNumberFormat="1" applyFont="1" applyFill="1" applyBorder="1" applyAlignment="1">
      <alignment horizontal="center"/>
    </xf>
    <xf numFmtId="166" fontId="1" fillId="5" borderId="8" xfId="0" applyNumberFormat="1" applyFont="1" applyFill="1" applyBorder="1" applyAlignment="1">
      <alignment horizontal="center"/>
    </xf>
    <xf numFmtId="166" fontId="1" fillId="5" borderId="6" xfId="0" applyNumberFormat="1" applyFont="1" applyFill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8" xfId="0" applyNumberFormat="1" applyFont="1" applyFill="1" applyBorder="1" applyAlignment="1">
      <alignment horizontal="center"/>
    </xf>
    <xf numFmtId="166" fontId="1" fillId="4" borderId="3" xfId="0" applyNumberFormat="1" applyFont="1" applyFill="1" applyBorder="1" applyAlignment="1">
      <alignment horizontal="center"/>
    </xf>
    <xf numFmtId="166" fontId="1" fillId="4" borderId="0" xfId="0" applyNumberFormat="1" applyFont="1" applyFill="1" applyBorder="1" applyAlignment="1">
      <alignment horizontal="center"/>
    </xf>
    <xf numFmtId="166" fontId="1" fillId="4" borderId="7" xfId="0" applyNumberFormat="1" applyFont="1" applyFill="1" applyBorder="1" applyAlignment="1">
      <alignment horizontal="center"/>
    </xf>
    <xf numFmtId="166" fontId="1" fillId="4" borderId="8" xfId="0" applyNumberFormat="1" applyFont="1" applyFill="1" applyBorder="1" applyAlignment="1">
      <alignment horizontal="center"/>
    </xf>
    <xf numFmtId="166" fontId="1" fillId="4" borderId="6" xfId="0" applyNumberFormat="1" applyFont="1" applyFill="1" applyBorder="1" applyAlignment="1">
      <alignment horizontal="center"/>
    </xf>
    <xf numFmtId="166" fontId="1" fillId="6" borderId="3" xfId="0" applyNumberFormat="1" applyFont="1" applyFill="1" applyBorder="1" applyAlignment="1">
      <alignment horizontal="center"/>
    </xf>
    <xf numFmtId="166" fontId="1" fillId="6" borderId="0" xfId="0" applyNumberFormat="1" applyFont="1" applyFill="1" applyBorder="1" applyAlignment="1">
      <alignment horizontal="center"/>
    </xf>
    <xf numFmtId="166" fontId="1" fillId="6" borderId="7" xfId="0" applyNumberFormat="1" applyFont="1" applyFill="1" applyBorder="1" applyAlignment="1">
      <alignment horizontal="center"/>
    </xf>
    <xf numFmtId="166" fontId="1" fillId="6" borderId="8" xfId="0" applyNumberFormat="1" applyFont="1" applyFill="1" applyBorder="1" applyAlignment="1">
      <alignment horizontal="center"/>
    </xf>
    <xf numFmtId="166" fontId="1" fillId="6" borderId="6" xfId="0" applyNumberFormat="1" applyFont="1" applyFill="1" applyBorder="1" applyAlignment="1">
      <alignment horizontal="center"/>
    </xf>
    <xf numFmtId="166" fontId="1" fillId="6" borderId="9" xfId="0" applyNumberFormat="1" applyFont="1" applyFill="1" applyBorder="1" applyAlignment="1">
      <alignment horizontal="center"/>
    </xf>
    <xf numFmtId="166" fontId="1" fillId="6" borderId="10" xfId="0" applyNumberFormat="1" applyFont="1" applyFill="1" applyBorder="1" applyAlignment="1">
      <alignment horizontal="center"/>
    </xf>
    <xf numFmtId="166" fontId="1" fillId="6" borderId="11" xfId="0" applyNumberFormat="1" applyFont="1" applyFill="1" applyBorder="1" applyAlignment="1">
      <alignment horizontal="center"/>
    </xf>
    <xf numFmtId="166" fontId="1" fillId="6" borderId="12" xfId="0" applyNumberFormat="1" applyFont="1" applyFill="1" applyBorder="1" applyAlignment="1">
      <alignment horizontal="center"/>
    </xf>
    <xf numFmtId="166" fontId="1" fillId="6" borderId="13" xfId="0" applyNumberFormat="1" applyFont="1" applyFill="1" applyBorder="1" applyAlignment="1">
      <alignment horizontal="center"/>
    </xf>
    <xf numFmtId="166" fontId="1" fillId="5" borderId="14" xfId="0" applyNumberFormat="1" applyFont="1" applyFill="1" applyBorder="1" applyAlignment="1">
      <alignment horizontal="center"/>
    </xf>
    <xf numFmtId="166" fontId="1" fillId="5" borderId="15" xfId="0" applyNumberFormat="1" applyFont="1" applyFill="1" applyBorder="1" applyAlignment="1">
      <alignment horizontal="center"/>
    </xf>
    <xf numFmtId="164" fontId="7" fillId="7" borderId="16" xfId="0" applyNumberFormat="1" applyFont="1" applyFill="1" applyBorder="1" applyAlignment="1">
      <alignment horizontal="center"/>
    </xf>
    <xf numFmtId="17" fontId="7" fillId="7" borderId="17" xfId="0" applyNumberFormat="1" applyFont="1" applyFill="1" applyBorder="1" applyAlignment="1">
      <alignment horizontal="center"/>
    </xf>
    <xf numFmtId="17" fontId="7" fillId="7" borderId="18" xfId="0" applyNumberFormat="1" applyFont="1" applyFill="1" applyBorder="1" applyAlignment="1">
      <alignment horizontal="center"/>
    </xf>
    <xf numFmtId="17" fontId="7" fillId="7" borderId="19" xfId="0" applyNumberFormat="1" applyFont="1" applyFill="1" applyBorder="1" applyAlignment="1">
      <alignment horizontal="center"/>
    </xf>
    <xf numFmtId="17" fontId="7" fillId="7" borderId="20" xfId="0" applyNumberFormat="1" applyFont="1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166" fontId="1" fillId="5" borderId="22" xfId="0" applyNumberFormat="1" applyFont="1" applyFill="1" applyBorder="1" applyAlignment="1">
      <alignment horizontal="center"/>
    </xf>
    <xf numFmtId="0" fontId="9" fillId="0" borderId="0" xfId="1" applyFont="1" applyBorder="1" applyAlignment="1" applyProtection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9" fillId="0" borderId="0" xfId="1" applyFont="1" applyAlignment="1" applyProtection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7" fillId="7" borderId="24" xfId="0" applyFont="1" applyFill="1" applyBorder="1" applyAlignment="1">
      <alignment horizontal="center" vertical="center" wrapText="1"/>
    </xf>
    <xf numFmtId="0" fontId="5" fillId="7" borderId="25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6" fillId="7" borderId="29" xfId="0" applyFont="1" applyFill="1" applyBorder="1" applyAlignment="1">
      <alignment horizontal="center" vertical="center" wrapText="1"/>
    </xf>
    <xf numFmtId="0" fontId="6" fillId="7" borderId="30" xfId="0" applyFont="1" applyFill="1" applyBorder="1" applyAlignment="1">
      <alignment horizontal="center" vertical="center" wrapText="1"/>
    </xf>
    <xf numFmtId="0" fontId="6" fillId="7" borderId="3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505050"/>
      <rgbColor rgb="00808000"/>
      <rgbColor rgb="00800080"/>
      <rgbColor rgb="00008080"/>
      <rgbColor rgb="009BA19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BCFCC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DE8527"/>
      <rgbColor rgb="00FF6600"/>
      <rgbColor rgb="00666699"/>
      <rgbColor rgb="00505050"/>
      <rgbColor rgb="00003366"/>
      <rgbColor rgb="00339966"/>
      <rgbColor rgb="00003300"/>
      <rgbColor rgb="00333300"/>
      <rgbColor rgb="00993300"/>
      <rgbColor rgb="00993366"/>
      <rgbColor rgb="00505050"/>
      <rgbColor rgb="0079827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4</xdr:row>
      <xdr:rowOff>85725</xdr:rowOff>
    </xdr:from>
    <xdr:to>
      <xdr:col>5</xdr:col>
      <xdr:colOff>28575</xdr:colOff>
      <xdr:row>7</xdr:row>
      <xdr:rowOff>95250</xdr:rowOff>
    </xdr:to>
    <xdr:pic>
      <xdr:nvPicPr>
        <xdr:cNvPr id="1066" name="Picture 3" descr="Huberator_Logo_Ibis_Facturati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04925" y="771525"/>
          <a:ext cx="2181225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647700</xdr:colOff>
      <xdr:row>385</xdr:row>
      <xdr:rowOff>0</xdr:rowOff>
    </xdr:from>
    <xdr:to>
      <xdr:col>5</xdr:col>
      <xdr:colOff>85725</xdr:colOff>
      <xdr:row>388</xdr:row>
      <xdr:rowOff>9525</xdr:rowOff>
    </xdr:to>
    <xdr:pic>
      <xdr:nvPicPr>
        <xdr:cNvPr id="1067" name="Picture 5" descr="Huberator_Logo_Ibis_Facturati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2075" y="62055375"/>
          <a:ext cx="2181225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.hub@huberator.com" TargetMode="External"/><Relationship Id="rId1" Type="http://schemas.openxmlformats.org/officeDocument/2006/relationships/hyperlink" Target="mailto:info.hub@huberator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91"/>
  <sheetViews>
    <sheetView tabSelected="1" zoomScaleNormal="100" workbookViewId="0">
      <pane ySplit="14" topLeftCell="A15" activePane="bottomLeft" state="frozen"/>
      <selection pane="bottomLeft" activeCell="A75" sqref="A75"/>
    </sheetView>
  </sheetViews>
  <sheetFormatPr defaultRowHeight="12.75"/>
  <cols>
    <col min="1" max="1" width="10.7109375" customWidth="1"/>
    <col min="2" max="3" width="9.85546875" customWidth="1"/>
    <col min="4" max="4" width="11.5703125" bestFit="1" customWidth="1"/>
    <col min="5" max="6" width="9.85546875" customWidth="1"/>
    <col min="7" max="7" width="11.5703125" bestFit="1" customWidth="1"/>
  </cols>
  <sheetData>
    <row r="1" spans="1:7" ht="15" customHeight="1">
      <c r="A1" s="44" t="s">
        <v>5</v>
      </c>
      <c r="B1" s="45"/>
      <c r="C1" s="45"/>
      <c r="D1" s="45"/>
      <c r="E1" s="45"/>
      <c r="F1" s="45"/>
      <c r="G1" s="45"/>
    </row>
    <row r="2" spans="1:7" ht="15" customHeight="1">
      <c r="A2" s="45"/>
      <c r="B2" s="45"/>
      <c r="C2" s="45"/>
      <c r="D2" s="45"/>
      <c r="E2" s="45"/>
      <c r="F2" s="45"/>
      <c r="G2" s="45"/>
    </row>
    <row r="3" spans="1:7" ht="15" customHeight="1">
      <c r="A3" s="45"/>
      <c r="B3" s="45"/>
      <c r="C3" s="45"/>
      <c r="D3" s="45"/>
      <c r="E3" s="45"/>
      <c r="F3" s="45"/>
      <c r="G3" s="45"/>
    </row>
    <row r="4" spans="1:7" ht="9" customHeight="1">
      <c r="A4" s="1"/>
      <c r="B4" s="2"/>
      <c r="C4" s="2"/>
      <c r="D4" s="2"/>
      <c r="E4" s="2"/>
      <c r="F4" s="2"/>
      <c r="G4" s="2"/>
    </row>
    <row r="5" spans="1:7" ht="10.5" customHeight="1">
      <c r="A5" s="1"/>
      <c r="B5" s="2"/>
      <c r="C5" s="2"/>
      <c r="D5" s="2"/>
      <c r="E5" s="2"/>
      <c r="F5" s="2"/>
      <c r="G5" s="2"/>
    </row>
    <row r="6" spans="1:7" ht="10.5" customHeight="1">
      <c r="A6" s="1"/>
      <c r="B6" s="2"/>
      <c r="C6" s="2"/>
      <c r="D6" s="2"/>
      <c r="E6" s="2"/>
      <c r="F6" s="2"/>
      <c r="G6" s="2"/>
    </row>
    <row r="7" spans="1:7" ht="10.5" customHeight="1">
      <c r="A7" s="1"/>
      <c r="B7" s="2"/>
      <c r="C7" s="2"/>
      <c r="D7" s="2"/>
      <c r="E7" s="2"/>
      <c r="F7" s="2"/>
      <c r="G7" s="2"/>
    </row>
    <row r="8" spans="1:7" ht="10.5" customHeight="1">
      <c r="A8" s="1"/>
      <c r="B8" s="2"/>
      <c r="C8" s="2"/>
      <c r="D8" s="2"/>
      <c r="E8" s="2"/>
      <c r="F8" s="2"/>
      <c r="G8" s="2"/>
    </row>
    <row r="9" spans="1:7" ht="10.5" customHeight="1">
      <c r="A9" s="1"/>
      <c r="B9" s="2"/>
      <c r="C9" s="2"/>
      <c r="D9" s="2"/>
      <c r="E9" s="2"/>
      <c r="F9" s="2"/>
      <c r="G9" s="2"/>
    </row>
    <row r="10" spans="1:7" ht="9" customHeight="1">
      <c r="A10" s="1"/>
      <c r="B10" s="2"/>
      <c r="C10" s="2"/>
      <c r="D10" s="2"/>
      <c r="E10" s="2"/>
      <c r="F10" s="2"/>
      <c r="G10" s="2"/>
    </row>
    <row r="11" spans="1:7" ht="13.5" thickBot="1">
      <c r="A11" s="42" t="s">
        <v>1</v>
      </c>
      <c r="B11" s="43"/>
      <c r="C11" s="43"/>
      <c r="D11" s="43"/>
      <c r="E11" s="43"/>
      <c r="F11" s="43"/>
      <c r="G11" s="43"/>
    </row>
    <row r="12" spans="1:7" ht="10.5" customHeight="1">
      <c r="A12" s="40"/>
      <c r="B12" s="50" t="s">
        <v>4</v>
      </c>
      <c r="C12" s="51"/>
      <c r="D12" s="52"/>
      <c r="E12" s="50" t="s">
        <v>3</v>
      </c>
      <c r="F12" s="51"/>
      <c r="G12" s="56"/>
    </row>
    <row r="13" spans="1:7" ht="12.75" customHeight="1">
      <c r="A13" s="48" t="s">
        <v>0</v>
      </c>
      <c r="B13" s="53"/>
      <c r="C13" s="54"/>
      <c r="D13" s="55"/>
      <c r="E13" s="53"/>
      <c r="F13" s="54"/>
      <c r="G13" s="57"/>
    </row>
    <row r="14" spans="1:7" ht="15" customHeight="1" thickBot="1">
      <c r="A14" s="49"/>
      <c r="B14" s="39" t="s">
        <v>6</v>
      </c>
      <c r="C14" s="35" t="s">
        <v>2</v>
      </c>
      <c r="D14" s="36" t="s">
        <v>7</v>
      </c>
      <c r="E14" s="37" t="s">
        <v>6</v>
      </c>
      <c r="F14" s="35" t="s">
        <v>2</v>
      </c>
      <c r="G14" s="38" t="s">
        <v>7</v>
      </c>
    </row>
    <row r="15" spans="1:7">
      <c r="A15" s="3">
        <v>40909</v>
      </c>
      <c r="B15" s="11">
        <f t="shared" ref="B15:B35" si="0">C15/0.27778</f>
        <v>6772.6557583699323</v>
      </c>
      <c r="C15" s="7">
        <v>1881.3083165599999</v>
      </c>
      <c r="D15" s="8">
        <f>B15/41.868</f>
        <v>161.76210371572398</v>
      </c>
      <c r="E15" s="9">
        <f>F15/0.27778</f>
        <v>1112.5302296100833</v>
      </c>
      <c r="F15" s="6">
        <v>309.03864718108895</v>
      </c>
      <c r="G15" s="10">
        <f>E15/41.868</f>
        <v>26.572328021641429</v>
      </c>
    </row>
    <row r="16" spans="1:7">
      <c r="A16" s="3">
        <v>40910</v>
      </c>
      <c r="B16" s="11">
        <f t="shared" si="0"/>
        <v>6878.6105746454023</v>
      </c>
      <c r="C16" s="12">
        <v>1910.740445425</v>
      </c>
      <c r="D16" s="13">
        <f t="shared" ref="D16:D74" si="1">B16/41.868</f>
        <v>164.29279102525561</v>
      </c>
      <c r="E16" s="14">
        <f t="shared" ref="E16:E74" si="2">F16/0.27778</f>
        <v>1234.5949051661887</v>
      </c>
      <c r="F16" s="11">
        <v>342.94577275706393</v>
      </c>
      <c r="G16" s="15">
        <f t="shared" ref="G16:G74" si="3">E16/41.868</f>
        <v>29.487792709615665</v>
      </c>
    </row>
    <row r="17" spans="1:7">
      <c r="A17" s="3">
        <v>40911</v>
      </c>
      <c r="B17" s="11">
        <f t="shared" si="0"/>
        <v>7056.9396815105474</v>
      </c>
      <c r="C17" s="7">
        <v>1960.2767047300001</v>
      </c>
      <c r="D17" s="16">
        <f t="shared" si="1"/>
        <v>168.55210856765422</v>
      </c>
      <c r="E17" s="17">
        <f t="shared" si="2"/>
        <v>1337.4857558433832</v>
      </c>
      <c r="F17" s="6">
        <v>371.52679325817502</v>
      </c>
      <c r="G17" s="10">
        <f t="shared" si="3"/>
        <v>31.945298458091695</v>
      </c>
    </row>
    <row r="18" spans="1:7">
      <c r="A18" s="3">
        <v>40912</v>
      </c>
      <c r="B18" s="11">
        <f t="shared" si="0"/>
        <v>8328.9757234862118</v>
      </c>
      <c r="C18" s="12">
        <v>2313.6228764699999</v>
      </c>
      <c r="D18" s="13">
        <f t="shared" si="1"/>
        <v>198.93416746647108</v>
      </c>
      <c r="E18" s="14">
        <f t="shared" si="2"/>
        <v>1885.3780998768807</v>
      </c>
      <c r="F18" s="11">
        <v>523.72032858379998</v>
      </c>
      <c r="G18" s="15">
        <f t="shared" si="3"/>
        <v>45.031482274693815</v>
      </c>
    </row>
    <row r="19" spans="1:7">
      <c r="A19" s="3">
        <v>40913</v>
      </c>
      <c r="B19" s="11">
        <f t="shared" si="0"/>
        <v>7952.705542569659</v>
      </c>
      <c r="C19" s="7">
        <v>2209.1025456150001</v>
      </c>
      <c r="D19" s="16">
        <f t="shared" si="1"/>
        <v>189.94710859295066</v>
      </c>
      <c r="E19" s="17">
        <f t="shared" si="2"/>
        <v>1610.8096190641272</v>
      </c>
      <c r="F19" s="6">
        <v>447.4506959836333</v>
      </c>
      <c r="G19" s="10">
        <f t="shared" si="3"/>
        <v>38.47352677615666</v>
      </c>
    </row>
    <row r="20" spans="1:7">
      <c r="A20" s="3">
        <v>40914</v>
      </c>
      <c r="B20" s="11">
        <f t="shared" si="0"/>
        <v>7230.140713586291</v>
      </c>
      <c r="C20" s="12">
        <v>2008.38848742</v>
      </c>
      <c r="D20" s="13">
        <f t="shared" si="1"/>
        <v>172.68894414794809</v>
      </c>
      <c r="E20" s="14">
        <f t="shared" si="2"/>
        <v>1426.2027283512132</v>
      </c>
      <c r="F20" s="11">
        <v>396.17059388140001</v>
      </c>
      <c r="G20" s="15">
        <f t="shared" si="3"/>
        <v>34.064266942562654</v>
      </c>
    </row>
    <row r="21" spans="1:7">
      <c r="A21" s="3">
        <v>40915</v>
      </c>
      <c r="B21" s="11">
        <f t="shared" si="0"/>
        <v>7277.4595487616089</v>
      </c>
      <c r="C21" s="7">
        <v>2021.532713455</v>
      </c>
      <c r="D21" s="16">
        <f t="shared" si="1"/>
        <v>173.81913510942985</v>
      </c>
      <c r="E21" s="17">
        <f t="shared" si="2"/>
        <v>1491.6895516417067</v>
      </c>
      <c r="F21" s="6">
        <v>414.3615236550333</v>
      </c>
      <c r="G21" s="10">
        <f t="shared" si="3"/>
        <v>35.628392845173082</v>
      </c>
    </row>
    <row r="22" spans="1:7">
      <c r="A22" s="3">
        <v>40916</v>
      </c>
      <c r="B22" s="11">
        <f t="shared" si="0"/>
        <v>7314.8633468392236</v>
      </c>
      <c r="C22" s="12">
        <v>2031.9227404849998</v>
      </c>
      <c r="D22" s="13">
        <f t="shared" si="1"/>
        <v>174.71250947834201</v>
      </c>
      <c r="E22" s="14">
        <f t="shared" si="2"/>
        <v>1510.2588497236122</v>
      </c>
      <c r="F22" s="11">
        <v>419.51970327622502</v>
      </c>
      <c r="G22" s="15">
        <f t="shared" si="3"/>
        <v>36.071912910184679</v>
      </c>
    </row>
    <row r="23" spans="1:7">
      <c r="A23" s="3">
        <v>40917</v>
      </c>
      <c r="B23" s="11">
        <f t="shared" si="0"/>
        <v>7810.4051911944689</v>
      </c>
      <c r="C23" s="7">
        <v>2169.5743540099998</v>
      </c>
      <c r="D23" s="16">
        <f t="shared" si="1"/>
        <v>186.54832309148918</v>
      </c>
      <c r="E23" s="17">
        <f t="shared" si="2"/>
        <v>1578.7133589114285</v>
      </c>
      <c r="F23" s="6">
        <v>438.53499683841665</v>
      </c>
      <c r="G23" s="10">
        <f t="shared" si="3"/>
        <v>37.706920772700592</v>
      </c>
    </row>
    <row r="24" spans="1:7">
      <c r="A24" s="3">
        <v>40918</v>
      </c>
      <c r="B24" s="11">
        <f t="shared" si="0"/>
        <v>7266.7877599539197</v>
      </c>
      <c r="C24" s="12">
        <v>2018.5683039600001</v>
      </c>
      <c r="D24" s="13">
        <f t="shared" si="1"/>
        <v>173.56424381279066</v>
      </c>
      <c r="E24" s="14">
        <f t="shared" si="2"/>
        <v>1502.4195880541454</v>
      </c>
      <c r="F24" s="11">
        <v>417.34211316968054</v>
      </c>
      <c r="G24" s="15">
        <f t="shared" si="3"/>
        <v>35.884675361950542</v>
      </c>
    </row>
    <row r="25" spans="1:7">
      <c r="A25" s="3">
        <v>40919</v>
      </c>
      <c r="B25" s="11">
        <f t="shared" si="0"/>
        <v>7860.8906707646329</v>
      </c>
      <c r="C25" s="7">
        <v>2183.598210525</v>
      </c>
      <c r="D25" s="16">
        <f t="shared" si="1"/>
        <v>187.75414805494967</v>
      </c>
      <c r="E25" s="17">
        <f t="shared" si="2"/>
        <v>1715.0079695415334</v>
      </c>
      <c r="F25" s="6">
        <v>476.39491377924719</v>
      </c>
      <c r="G25" s="10">
        <f t="shared" si="3"/>
        <v>40.962261620844878</v>
      </c>
    </row>
    <row r="26" spans="1:7">
      <c r="A26" s="3">
        <v>40920</v>
      </c>
      <c r="B26" s="11">
        <f t="shared" si="0"/>
        <v>7468.4121900604778</v>
      </c>
      <c r="C26" s="12">
        <v>2074.5755381549998</v>
      </c>
      <c r="D26" s="13">
        <f t="shared" si="1"/>
        <v>178.37996059187154</v>
      </c>
      <c r="E26" s="14">
        <f t="shared" si="2"/>
        <v>1598.171464080237</v>
      </c>
      <c r="F26" s="11">
        <v>443.94006929220831</v>
      </c>
      <c r="G26" s="15">
        <f t="shared" si="3"/>
        <v>38.171669630272213</v>
      </c>
    </row>
    <row r="27" spans="1:7">
      <c r="A27" s="3">
        <v>40921</v>
      </c>
      <c r="B27" s="11">
        <f t="shared" si="0"/>
        <v>8032.7101422888618</v>
      </c>
      <c r="C27" s="7">
        <v>2231.3262233250002</v>
      </c>
      <c r="D27" s="16">
        <f t="shared" si="1"/>
        <v>191.85798562837635</v>
      </c>
      <c r="E27" s="17">
        <f t="shared" si="2"/>
        <v>1799.686158853769</v>
      </c>
      <c r="F27" s="6">
        <v>499.91682120640002</v>
      </c>
      <c r="G27" s="10">
        <f t="shared" si="3"/>
        <v>42.984765425952254</v>
      </c>
    </row>
    <row r="28" spans="1:7">
      <c r="A28" s="3">
        <v>40922</v>
      </c>
      <c r="B28" s="11">
        <f t="shared" si="0"/>
        <v>7122.3321244150038</v>
      </c>
      <c r="C28" s="12">
        <v>1978.44141752</v>
      </c>
      <c r="D28" s="13">
        <f t="shared" si="1"/>
        <v>170.11398023347195</v>
      </c>
      <c r="E28" s="14">
        <f t="shared" si="2"/>
        <v>1372.9268058895227</v>
      </c>
      <c r="F28" s="11">
        <v>381.37160813999168</v>
      </c>
      <c r="G28" s="15">
        <f t="shared" si="3"/>
        <v>32.791793395660711</v>
      </c>
    </row>
    <row r="29" spans="1:7">
      <c r="A29" s="3">
        <v>40923</v>
      </c>
      <c r="B29" s="11">
        <f t="shared" si="0"/>
        <v>7180.2301687486497</v>
      </c>
      <c r="C29" s="7">
        <v>1994.524336275</v>
      </c>
      <c r="D29" s="16">
        <f t="shared" si="1"/>
        <v>171.49685126465675</v>
      </c>
      <c r="E29" s="17">
        <f t="shared" si="2"/>
        <v>1399.9742602521676</v>
      </c>
      <c r="F29" s="6">
        <v>388.88485001284715</v>
      </c>
      <c r="G29" s="10">
        <f t="shared" si="3"/>
        <v>33.437810744534431</v>
      </c>
    </row>
    <row r="30" spans="1:7">
      <c r="A30" s="3">
        <v>40924</v>
      </c>
      <c r="B30" s="11">
        <f t="shared" si="0"/>
        <v>7682.7293637230905</v>
      </c>
      <c r="C30" s="12">
        <v>2134.1085626550002</v>
      </c>
      <c r="D30" s="13">
        <f t="shared" si="1"/>
        <v>183.49883834248328</v>
      </c>
      <c r="E30" s="14">
        <f t="shared" si="2"/>
        <v>1591.7681853659469</v>
      </c>
      <c r="F30" s="11">
        <v>442.16136653095276</v>
      </c>
      <c r="G30" s="15">
        <f t="shared" si="3"/>
        <v>38.018729945685173</v>
      </c>
    </row>
    <row r="31" spans="1:7">
      <c r="A31" s="3">
        <v>40925</v>
      </c>
      <c r="B31" s="11">
        <f t="shared" si="0"/>
        <v>7620.4516751925976</v>
      </c>
      <c r="C31" s="7">
        <v>2116.8090663349999</v>
      </c>
      <c r="D31" s="16">
        <f t="shared" si="1"/>
        <v>182.01136130678793</v>
      </c>
      <c r="E31" s="17">
        <f t="shared" si="2"/>
        <v>1605.1448979151862</v>
      </c>
      <c r="F31" s="6">
        <v>445.87714974288048</v>
      </c>
      <c r="G31" s="10">
        <f t="shared" si="3"/>
        <v>38.338227235960311</v>
      </c>
    </row>
    <row r="32" spans="1:7">
      <c r="A32" s="3">
        <v>40926</v>
      </c>
      <c r="B32" s="11">
        <f t="shared" si="0"/>
        <v>8658.4515189718459</v>
      </c>
      <c r="C32" s="12">
        <v>2405.1446629399998</v>
      </c>
      <c r="D32" s="13">
        <f t="shared" si="1"/>
        <v>206.80356164545347</v>
      </c>
      <c r="E32" s="14">
        <f t="shared" si="2"/>
        <v>2081.4400990194572</v>
      </c>
      <c r="F32" s="11">
        <v>578.18243070562494</v>
      </c>
      <c r="G32" s="15">
        <f t="shared" si="3"/>
        <v>49.714342672672615</v>
      </c>
    </row>
    <row r="33" spans="1:7">
      <c r="A33" s="3">
        <v>40927</v>
      </c>
      <c r="B33" s="11">
        <f t="shared" si="0"/>
        <v>8217.3063477752166</v>
      </c>
      <c r="C33" s="7">
        <v>2282.6033572850001</v>
      </c>
      <c r="D33" s="16">
        <f t="shared" si="1"/>
        <v>196.26699024971856</v>
      </c>
      <c r="E33" s="17">
        <f t="shared" si="2"/>
        <v>1773.7297957995233</v>
      </c>
      <c r="F33" s="6">
        <v>492.70666267719167</v>
      </c>
      <c r="G33" s="10">
        <f t="shared" si="3"/>
        <v>42.364808345264244</v>
      </c>
    </row>
    <row r="34" spans="1:7">
      <c r="A34" s="3">
        <v>40928</v>
      </c>
      <c r="B34" s="11">
        <f t="shared" si="0"/>
        <v>8230.2590286917693</v>
      </c>
      <c r="C34" s="12">
        <v>2286.20135299</v>
      </c>
      <c r="D34" s="13">
        <f t="shared" si="1"/>
        <v>196.57635971844294</v>
      </c>
      <c r="E34" s="14">
        <f t="shared" si="2"/>
        <v>1706.7782931290647</v>
      </c>
      <c r="F34" s="11">
        <v>474.10887426539165</v>
      </c>
      <c r="G34" s="15">
        <f t="shared" si="3"/>
        <v>40.765699176675852</v>
      </c>
    </row>
    <row r="35" spans="1:7">
      <c r="A35" s="3">
        <v>40929</v>
      </c>
      <c r="B35" s="11">
        <f t="shared" si="0"/>
        <v>7485.7181448988395</v>
      </c>
      <c r="C35" s="7">
        <v>2079.3827862899998</v>
      </c>
      <c r="D35" s="16">
        <f t="shared" si="1"/>
        <v>178.79330622190787</v>
      </c>
      <c r="E35" s="17">
        <f t="shared" si="2"/>
        <v>1478.2942344625242</v>
      </c>
      <c r="F35" s="6">
        <v>410.64057244899999</v>
      </c>
      <c r="G35" s="10">
        <f t="shared" si="3"/>
        <v>35.308451190945931</v>
      </c>
    </row>
    <row r="36" spans="1:7">
      <c r="A36" s="3">
        <v>40930</v>
      </c>
      <c r="B36" s="11">
        <f>C36/0.27778</f>
        <v>7539.1444411764705</v>
      </c>
      <c r="C36" s="12">
        <v>2094.2235428700001</v>
      </c>
      <c r="D36" s="13">
        <f t="shared" si="1"/>
        <v>180.06937138569958</v>
      </c>
      <c r="E36" s="14">
        <f t="shared" si="2"/>
        <v>1503.7687966474466</v>
      </c>
      <c r="F36" s="11">
        <v>417.71689633272774</v>
      </c>
      <c r="G36" s="15">
        <f t="shared" si="3"/>
        <v>35.916900655570998</v>
      </c>
    </row>
    <row r="37" spans="1:7">
      <c r="A37" s="3">
        <v>40931</v>
      </c>
      <c r="B37" s="6">
        <f t="shared" ref="B37:B74" si="4">C37/0.27778</f>
        <v>7770.9769883540939</v>
      </c>
      <c r="C37" s="7">
        <v>2158.6219878250004</v>
      </c>
      <c r="D37" s="16">
        <f t="shared" si="1"/>
        <v>185.60659664550715</v>
      </c>
      <c r="E37" s="17">
        <f t="shared" si="2"/>
        <v>1655.6057648293711</v>
      </c>
      <c r="F37" s="6">
        <v>459.89416935430273</v>
      </c>
      <c r="G37" s="10">
        <f t="shared" si="3"/>
        <v>39.543464336232233</v>
      </c>
    </row>
    <row r="38" spans="1:7">
      <c r="A38" s="3">
        <v>40932</v>
      </c>
      <c r="B38" s="11">
        <f t="shared" si="4"/>
        <v>7865.7481295629641</v>
      </c>
      <c r="C38" s="12">
        <v>2184.9475154300003</v>
      </c>
      <c r="D38" s="13">
        <f t="shared" si="1"/>
        <v>187.87016646515153</v>
      </c>
      <c r="E38" s="14">
        <f t="shared" si="2"/>
        <v>1758.2726219070046</v>
      </c>
      <c r="F38" s="11">
        <v>488.4129689133278</v>
      </c>
      <c r="G38" s="15">
        <f t="shared" si="3"/>
        <v>41.995620089495667</v>
      </c>
    </row>
    <row r="39" spans="1:7">
      <c r="A39" s="3">
        <v>40933</v>
      </c>
      <c r="B39" s="6">
        <f t="shared" si="4"/>
        <v>8204.902471668227</v>
      </c>
      <c r="C39" s="7">
        <v>2279.1578085800002</v>
      </c>
      <c r="D39" s="16">
        <f t="shared" si="1"/>
        <v>195.97072875867551</v>
      </c>
      <c r="E39" s="17">
        <f t="shared" si="2"/>
        <v>1640.4205153488369</v>
      </c>
      <c r="F39" s="6">
        <v>455.6760107536</v>
      </c>
      <c r="G39" s="10">
        <f t="shared" si="3"/>
        <v>39.18077088346319</v>
      </c>
    </row>
    <row r="40" spans="1:7">
      <c r="A40" s="3">
        <v>40934</v>
      </c>
      <c r="B40" s="11">
        <f t="shared" si="4"/>
        <v>7834.3032266721848</v>
      </c>
      <c r="C40" s="12">
        <v>2176.2127503049996</v>
      </c>
      <c r="D40" s="13">
        <f t="shared" si="1"/>
        <v>187.11911786262024</v>
      </c>
      <c r="E40" s="14">
        <f t="shared" si="2"/>
        <v>1570.6778386054011</v>
      </c>
      <c r="F40" s="11">
        <v>436.30289000780834</v>
      </c>
      <c r="G40" s="15">
        <f t="shared" si="3"/>
        <v>37.51499566746444</v>
      </c>
    </row>
    <row r="41" spans="1:7">
      <c r="A41" s="3">
        <v>40935</v>
      </c>
      <c r="B41" s="6">
        <f t="shared" si="4"/>
        <v>8859.2316861005111</v>
      </c>
      <c r="C41" s="7">
        <v>2460.9173777650003</v>
      </c>
      <c r="D41" s="16">
        <f t="shared" si="1"/>
        <v>211.59911354973991</v>
      </c>
      <c r="E41" s="17">
        <f t="shared" si="2"/>
        <v>2007.3456938051393</v>
      </c>
      <c r="F41" s="6">
        <v>557.60048682519164</v>
      </c>
      <c r="G41" s="10">
        <f t="shared" si="3"/>
        <v>47.944628207823136</v>
      </c>
    </row>
    <row r="42" spans="1:7">
      <c r="A42" s="3">
        <v>40936</v>
      </c>
      <c r="B42" s="11">
        <f t="shared" si="4"/>
        <v>7485.5447290481661</v>
      </c>
      <c r="C42" s="12">
        <v>2079.3346148349997</v>
      </c>
      <c r="D42" s="13">
        <f t="shared" si="1"/>
        <v>178.78916425547354</v>
      </c>
      <c r="E42" s="14">
        <f t="shared" si="2"/>
        <v>1518.5382568503753</v>
      </c>
      <c r="F42" s="11">
        <v>421.81955698789727</v>
      </c>
      <c r="G42" s="15">
        <f t="shared" si="3"/>
        <v>36.269663152058257</v>
      </c>
    </row>
    <row r="43" spans="1:7">
      <c r="A43" s="3">
        <v>40937</v>
      </c>
      <c r="B43" s="6">
        <f t="shared" si="4"/>
        <v>7703.5680591295259</v>
      </c>
      <c r="C43" s="7">
        <v>2139.8971354649998</v>
      </c>
      <c r="D43" s="16">
        <f t="shared" si="1"/>
        <v>183.996562031373</v>
      </c>
      <c r="E43" s="17">
        <f t="shared" si="2"/>
        <v>1651.1568288469391</v>
      </c>
      <c r="F43" s="6">
        <v>458.6583439171028</v>
      </c>
      <c r="G43" s="10">
        <f t="shared" si="3"/>
        <v>39.437203325856004</v>
      </c>
    </row>
    <row r="44" spans="1:7">
      <c r="A44" s="3">
        <v>40938</v>
      </c>
      <c r="B44" s="11">
        <f t="shared" si="4"/>
        <v>8750.2421676866579</v>
      </c>
      <c r="C44" s="12">
        <v>2430.64226934</v>
      </c>
      <c r="D44" s="13">
        <f t="shared" si="1"/>
        <v>208.99594362488435</v>
      </c>
      <c r="E44" s="14">
        <f t="shared" si="2"/>
        <v>2117.3150003573473</v>
      </c>
      <c r="F44" s="11">
        <v>588.14776079926401</v>
      </c>
      <c r="G44" s="15">
        <f t="shared" si="3"/>
        <v>50.571199970319746</v>
      </c>
    </row>
    <row r="45" spans="1:7">
      <c r="A45" s="3">
        <v>40939</v>
      </c>
      <c r="B45" s="11">
        <f t="shared" si="4"/>
        <v>8287.7858712110283</v>
      </c>
      <c r="C45" s="12">
        <v>2302.1811593049997</v>
      </c>
      <c r="D45" s="13">
        <f t="shared" si="1"/>
        <v>197.95036474660904</v>
      </c>
      <c r="E45" s="14">
        <f t="shared" si="2"/>
        <v>1687.8766648873807</v>
      </c>
      <c r="F45" s="11">
        <v>468.85837997241663</v>
      </c>
      <c r="G45" s="15">
        <f t="shared" si="3"/>
        <v>40.314241542165391</v>
      </c>
    </row>
    <row r="46" spans="1:7">
      <c r="A46" s="4">
        <v>40940</v>
      </c>
      <c r="B46" s="18">
        <f t="shared" si="4"/>
        <v>9374.1552897976799</v>
      </c>
      <c r="C46" s="19">
        <v>2603.9528563999997</v>
      </c>
      <c r="D46" s="20">
        <f t="shared" si="1"/>
        <v>223.89785253171107</v>
      </c>
      <c r="E46" s="21">
        <f t="shared" si="2"/>
        <v>2040.6797895552133</v>
      </c>
      <c r="F46" s="18">
        <v>566.8600319426472</v>
      </c>
      <c r="G46" s="22">
        <f t="shared" si="3"/>
        <v>48.740799406592465</v>
      </c>
    </row>
    <row r="47" spans="1:7">
      <c r="A47" s="4">
        <v>40941</v>
      </c>
      <c r="B47" s="23">
        <f t="shared" si="4"/>
        <v>9667.7023285873693</v>
      </c>
      <c r="C47" s="19">
        <v>2685.4943528349995</v>
      </c>
      <c r="D47" s="20">
        <f t="shared" si="1"/>
        <v>230.90910309991804</v>
      </c>
      <c r="E47" s="26">
        <f t="shared" si="2"/>
        <v>2231.3824395080437</v>
      </c>
      <c r="F47" s="23">
        <v>619.83341404654448</v>
      </c>
      <c r="G47" s="27">
        <f t="shared" si="3"/>
        <v>53.295653948314786</v>
      </c>
    </row>
    <row r="48" spans="1:7">
      <c r="A48" s="4">
        <v>40942</v>
      </c>
      <c r="B48" s="18">
        <f t="shared" si="4"/>
        <v>10254.981758945929</v>
      </c>
      <c r="C48" s="19">
        <v>2848.6288330000002</v>
      </c>
      <c r="D48" s="20">
        <f t="shared" si="1"/>
        <v>244.93603131140557</v>
      </c>
      <c r="E48" s="21">
        <f t="shared" si="2"/>
        <v>2282.5273140114577</v>
      </c>
      <c r="F48" s="18">
        <v>634.04043728610282</v>
      </c>
      <c r="G48" s="22">
        <f t="shared" si="3"/>
        <v>54.517228289181659</v>
      </c>
    </row>
    <row r="49" spans="1:7">
      <c r="A49" s="4">
        <v>40943</v>
      </c>
      <c r="B49" s="23">
        <f t="shared" si="4"/>
        <v>9295.5289112967093</v>
      </c>
      <c r="C49" s="19">
        <v>2582.1120209800001</v>
      </c>
      <c r="D49" s="20">
        <f t="shared" si="1"/>
        <v>222.01989374454735</v>
      </c>
      <c r="E49" s="26">
        <f t="shared" si="2"/>
        <v>1861.7501114019683</v>
      </c>
      <c r="F49" s="23">
        <v>517.15694594523882</v>
      </c>
      <c r="G49" s="27">
        <f t="shared" si="3"/>
        <v>44.467137465414353</v>
      </c>
    </row>
    <row r="50" spans="1:7">
      <c r="A50" s="4">
        <v>40944</v>
      </c>
      <c r="B50" s="18">
        <f t="shared" si="4"/>
        <v>8918.5720860393103</v>
      </c>
      <c r="C50" s="19">
        <v>2477.40095406</v>
      </c>
      <c r="D50" s="20">
        <f t="shared" si="1"/>
        <v>213.01643465270158</v>
      </c>
      <c r="E50" s="21">
        <f t="shared" si="2"/>
        <v>1741.5515395404734</v>
      </c>
      <c r="F50" s="23">
        <v>483.76818665355273</v>
      </c>
      <c r="G50" s="27">
        <f t="shared" si="3"/>
        <v>41.596243898454027</v>
      </c>
    </row>
    <row r="51" spans="1:7">
      <c r="A51" s="4">
        <v>40945</v>
      </c>
      <c r="B51" s="23">
        <f t="shared" si="4"/>
        <v>9705.0220507235917</v>
      </c>
      <c r="C51" s="19">
        <v>2695.8610252499998</v>
      </c>
      <c r="D51" s="20">
        <f t="shared" si="1"/>
        <v>231.80046934946955</v>
      </c>
      <c r="E51" s="26">
        <f t="shared" si="2"/>
        <v>2302.2743324916696</v>
      </c>
      <c r="F51" s="23">
        <v>639.52576407953609</v>
      </c>
      <c r="G51" s="27">
        <f t="shared" si="3"/>
        <v>54.988877722644254</v>
      </c>
    </row>
    <row r="52" spans="1:7">
      <c r="A52" s="4">
        <v>40946</v>
      </c>
      <c r="B52" s="18">
        <f t="shared" si="4"/>
        <v>9641.9842459500305</v>
      </c>
      <c r="C52" s="19">
        <v>2678.3503838399997</v>
      </c>
      <c r="D52" s="20">
        <f t="shared" si="1"/>
        <v>230.29483724921252</v>
      </c>
      <c r="E52" s="26">
        <f t="shared" si="2"/>
        <v>2162.8885154092568</v>
      </c>
      <c r="F52" s="23">
        <v>600.80717181038335</v>
      </c>
      <c r="G52" s="27">
        <f t="shared" si="3"/>
        <v>51.65970467682375</v>
      </c>
    </row>
    <row r="53" spans="1:7">
      <c r="A53" s="4">
        <v>40947</v>
      </c>
      <c r="B53" s="23">
        <f t="shared" si="4"/>
        <v>10875.821686226509</v>
      </c>
      <c r="C53" s="19">
        <v>3021.085748</v>
      </c>
      <c r="D53" s="20">
        <f t="shared" si="1"/>
        <v>259.76453822075354</v>
      </c>
      <c r="E53" s="26">
        <f t="shared" si="2"/>
        <v>2399.2848585211314</v>
      </c>
      <c r="F53" s="23">
        <v>666.47334799999999</v>
      </c>
      <c r="G53" s="27">
        <f t="shared" si="3"/>
        <v>57.305934329825433</v>
      </c>
    </row>
    <row r="54" spans="1:7">
      <c r="A54" s="4">
        <v>40948</v>
      </c>
      <c r="B54" s="18">
        <f t="shared" si="4"/>
        <v>9623.0786339549268</v>
      </c>
      <c r="C54" s="19">
        <v>2673.0987829399996</v>
      </c>
      <c r="D54" s="20">
        <f t="shared" si="1"/>
        <v>229.84328446438633</v>
      </c>
      <c r="E54" s="21">
        <f t="shared" si="2"/>
        <v>1876.7504784262626</v>
      </c>
      <c r="F54" s="23">
        <v>521.32374789724724</v>
      </c>
      <c r="G54" s="27">
        <f t="shared" si="3"/>
        <v>44.825415076580263</v>
      </c>
    </row>
    <row r="55" spans="1:7">
      <c r="A55" s="4">
        <v>40949</v>
      </c>
      <c r="B55" s="23">
        <f t="shared" si="4"/>
        <v>9942.3247244222039</v>
      </c>
      <c r="C55" s="19">
        <v>2761.7789619499999</v>
      </c>
      <c r="D55" s="20">
        <f t="shared" si="1"/>
        <v>237.46834633663426</v>
      </c>
      <c r="E55" s="26">
        <f t="shared" si="2"/>
        <v>1973.5628678768767</v>
      </c>
      <c r="F55" s="23">
        <v>548.21629343883887</v>
      </c>
      <c r="G55" s="27">
        <f t="shared" si="3"/>
        <v>47.137739272878491</v>
      </c>
    </row>
    <row r="56" spans="1:7">
      <c r="A56" s="4">
        <v>40950</v>
      </c>
      <c r="B56" s="18">
        <f t="shared" si="4"/>
        <v>9203.6242854057164</v>
      </c>
      <c r="C56" s="19">
        <v>2556.582754</v>
      </c>
      <c r="D56" s="20">
        <f t="shared" si="1"/>
        <v>219.82478946703247</v>
      </c>
      <c r="E56" s="21">
        <f t="shared" si="2"/>
        <v>1742.9726762185901</v>
      </c>
      <c r="F56" s="23">
        <v>484.16295000000002</v>
      </c>
      <c r="G56" s="27">
        <f t="shared" si="3"/>
        <v>41.630187164865532</v>
      </c>
    </row>
    <row r="57" spans="1:7">
      <c r="A57" s="4">
        <v>40951</v>
      </c>
      <c r="B57" s="23">
        <f t="shared" si="4"/>
        <v>9180.7835834653306</v>
      </c>
      <c r="C57" s="19">
        <v>2550.2380638149998</v>
      </c>
      <c r="D57" s="20">
        <f t="shared" si="1"/>
        <v>219.2792486735772</v>
      </c>
      <c r="E57" s="26">
        <f t="shared" si="2"/>
        <v>1734.2281733746127</v>
      </c>
      <c r="F57" s="23">
        <v>481.73390199999994</v>
      </c>
      <c r="G57" s="27">
        <f t="shared" si="3"/>
        <v>41.421328302632382</v>
      </c>
    </row>
    <row r="58" spans="1:7">
      <c r="A58" s="4">
        <v>40952</v>
      </c>
      <c r="B58" s="18">
        <f t="shared" si="4"/>
        <v>9307.9486878824973</v>
      </c>
      <c r="C58" s="24">
        <v>2585.5619865200001</v>
      </c>
      <c r="D58" s="25">
        <f t="shared" si="1"/>
        <v>222.31653501200194</v>
      </c>
      <c r="E58" s="21">
        <f t="shared" si="2"/>
        <v>1847.7816681981442</v>
      </c>
      <c r="F58" s="23">
        <v>513.27679179208053</v>
      </c>
      <c r="G58" s="27">
        <f t="shared" si="3"/>
        <v>44.133506931263589</v>
      </c>
    </row>
    <row r="59" spans="1:7">
      <c r="A59" s="4">
        <v>40953</v>
      </c>
      <c r="B59" s="23">
        <f t="shared" si="4"/>
        <v>8994.9564391604854</v>
      </c>
      <c r="C59" s="24">
        <v>2498.61899967</v>
      </c>
      <c r="D59" s="25">
        <f t="shared" si="1"/>
        <v>214.84084358365541</v>
      </c>
      <c r="E59" s="26">
        <f t="shared" si="2"/>
        <v>1717.7757937936497</v>
      </c>
      <c r="F59" s="23">
        <v>477.16376000000002</v>
      </c>
      <c r="G59" s="27">
        <f t="shared" si="3"/>
        <v>41.028369967365279</v>
      </c>
    </row>
    <row r="60" spans="1:7">
      <c r="A60" s="4">
        <v>40954</v>
      </c>
      <c r="B60" s="18">
        <f t="shared" si="4"/>
        <v>9155.7380577435379</v>
      </c>
      <c r="C60" s="24">
        <v>2543.2809176800001</v>
      </c>
      <c r="D60" s="25">
        <f t="shared" si="1"/>
        <v>218.68104656882434</v>
      </c>
      <c r="E60" s="21">
        <f t="shared" si="2"/>
        <v>1707.7664583789729</v>
      </c>
      <c r="F60" s="23">
        <v>474.38336680851114</v>
      </c>
      <c r="G60" s="27">
        <f t="shared" si="3"/>
        <v>40.789301098188901</v>
      </c>
    </row>
    <row r="61" spans="1:7">
      <c r="A61" s="4">
        <v>40955</v>
      </c>
      <c r="B61" s="23">
        <f t="shared" si="4"/>
        <v>8810.0964252285958</v>
      </c>
      <c r="C61" s="24">
        <v>2447.2685849999998</v>
      </c>
      <c r="D61" s="25">
        <f t="shared" si="1"/>
        <v>210.42553800584207</v>
      </c>
      <c r="E61" s="26">
        <f t="shared" si="2"/>
        <v>1518.0900344783638</v>
      </c>
      <c r="F61" s="23">
        <v>421.69504977739996</v>
      </c>
      <c r="G61" s="27">
        <f t="shared" si="3"/>
        <v>36.258957544625098</v>
      </c>
    </row>
    <row r="62" spans="1:7">
      <c r="A62" s="4">
        <v>40956</v>
      </c>
      <c r="B62" s="18">
        <f t="shared" si="4"/>
        <v>9474.2322051803585</v>
      </c>
      <c r="C62" s="24">
        <v>2631.7522219550001</v>
      </c>
      <c r="D62" s="25">
        <f t="shared" si="1"/>
        <v>226.28814859034006</v>
      </c>
      <c r="E62" s="21">
        <f t="shared" si="2"/>
        <v>1858.4198393599549</v>
      </c>
      <c r="F62" s="23">
        <v>516.23186297740835</v>
      </c>
      <c r="G62" s="27">
        <f t="shared" si="3"/>
        <v>44.38759528422554</v>
      </c>
    </row>
    <row r="63" spans="1:7">
      <c r="A63" s="4">
        <v>40957</v>
      </c>
      <c r="B63" s="23">
        <f t="shared" si="4"/>
        <v>8114.0888184894529</v>
      </c>
      <c r="C63" s="24">
        <v>2253.9315920000004</v>
      </c>
      <c r="D63" s="25">
        <f t="shared" si="1"/>
        <v>193.80168191672524</v>
      </c>
      <c r="E63" s="26">
        <f t="shared" si="2"/>
        <v>1358.9276368207954</v>
      </c>
      <c r="F63" s="23">
        <v>377.4829189560806</v>
      </c>
      <c r="G63" s="27">
        <f t="shared" si="3"/>
        <v>32.457428986834707</v>
      </c>
    </row>
    <row r="64" spans="1:7">
      <c r="A64" s="4">
        <v>40958</v>
      </c>
      <c r="B64" s="18">
        <f t="shared" si="4"/>
        <v>8287.5280255597936</v>
      </c>
      <c r="C64" s="24">
        <v>2302.1095349399998</v>
      </c>
      <c r="D64" s="25">
        <f t="shared" si="1"/>
        <v>197.94420620903298</v>
      </c>
      <c r="E64" s="21">
        <f t="shared" si="2"/>
        <v>1443.1292160817911</v>
      </c>
      <c r="F64" s="23">
        <v>400.8724336432</v>
      </c>
      <c r="G64" s="27">
        <f t="shared" si="3"/>
        <v>34.468549156439074</v>
      </c>
    </row>
    <row r="65" spans="1:7">
      <c r="A65" s="4">
        <v>40959</v>
      </c>
      <c r="B65" s="23">
        <f t="shared" si="4"/>
        <v>8725.8099514183868</v>
      </c>
      <c r="C65" s="24">
        <v>2423.8554883049997</v>
      </c>
      <c r="D65" s="25">
        <f t="shared" si="1"/>
        <v>208.41239016476513</v>
      </c>
      <c r="E65" s="26">
        <f t="shared" si="2"/>
        <v>1740.851121452318</v>
      </c>
      <c r="F65" s="23">
        <v>483.57362451702494</v>
      </c>
      <c r="G65" s="27">
        <f t="shared" si="3"/>
        <v>41.579514699826071</v>
      </c>
    </row>
    <row r="66" spans="1:7">
      <c r="A66" s="4">
        <v>40960</v>
      </c>
      <c r="B66" s="18">
        <f t="shared" si="4"/>
        <v>8799.4267082223341</v>
      </c>
      <c r="C66" s="24">
        <v>2444.30475101</v>
      </c>
      <c r="D66" s="25">
        <f t="shared" si="1"/>
        <v>210.17069619332983</v>
      </c>
      <c r="E66" s="21">
        <f t="shared" si="2"/>
        <v>1756.9031660217415</v>
      </c>
      <c r="F66" s="23">
        <v>488.03256145751942</v>
      </c>
      <c r="G66" s="27">
        <f t="shared" si="3"/>
        <v>41.962911197614922</v>
      </c>
    </row>
    <row r="67" spans="1:7">
      <c r="A67" s="4">
        <v>40961</v>
      </c>
      <c r="B67" s="23">
        <f t="shared" si="4"/>
        <v>8896.92972363021</v>
      </c>
      <c r="C67" s="24">
        <v>2471.3891386300002</v>
      </c>
      <c r="D67" s="25">
        <f t="shared" si="1"/>
        <v>212.49951570722772</v>
      </c>
      <c r="E67" s="26">
        <f t="shared" si="2"/>
        <v>1710.6393369322443</v>
      </c>
      <c r="F67" s="23">
        <v>475.18139501303887</v>
      </c>
      <c r="G67" s="27">
        <f t="shared" si="3"/>
        <v>40.857918623584702</v>
      </c>
    </row>
    <row r="68" spans="1:7">
      <c r="A68" s="4">
        <v>40962</v>
      </c>
      <c r="B68" s="18">
        <f t="shared" si="4"/>
        <v>8110.1931491108053</v>
      </c>
      <c r="C68" s="24">
        <v>2252.8494529599998</v>
      </c>
      <c r="D68" s="25">
        <f t="shared" si="1"/>
        <v>193.70863545215451</v>
      </c>
      <c r="E68" s="21">
        <f t="shared" si="2"/>
        <v>1635.6833740719972</v>
      </c>
      <c r="F68" s="23">
        <v>454.3601276497194</v>
      </c>
      <c r="G68" s="27">
        <f t="shared" si="3"/>
        <v>39.067626207891401</v>
      </c>
    </row>
    <row r="69" spans="1:7">
      <c r="A69" s="4">
        <v>40963</v>
      </c>
      <c r="B69" s="23">
        <f t="shared" si="4"/>
        <v>8091.1445133558927</v>
      </c>
      <c r="C69" s="19">
        <v>2247.5581229200002</v>
      </c>
      <c r="D69" s="20">
        <f t="shared" si="1"/>
        <v>193.25366660351324</v>
      </c>
      <c r="E69" s="26">
        <f t="shared" si="2"/>
        <v>1560.0595362244101</v>
      </c>
      <c r="F69" s="18">
        <v>433.35333797241668</v>
      </c>
      <c r="G69" s="22">
        <f t="shared" si="3"/>
        <v>37.26138187217947</v>
      </c>
    </row>
    <row r="70" spans="1:7">
      <c r="A70" s="4">
        <v>40964</v>
      </c>
      <c r="B70" s="18">
        <f t="shared" si="4"/>
        <v>7735.7837335661306</v>
      </c>
      <c r="C70" s="19">
        <v>2148.8460055099999</v>
      </c>
      <c r="D70" s="20">
        <f t="shared" si="1"/>
        <v>184.76602019600006</v>
      </c>
      <c r="E70" s="21">
        <f t="shared" si="2"/>
        <v>1307.1534975000898</v>
      </c>
      <c r="F70" s="18">
        <v>363.10109853557498</v>
      </c>
      <c r="G70" s="22">
        <f t="shared" si="3"/>
        <v>31.220824914017619</v>
      </c>
    </row>
    <row r="71" spans="1:7">
      <c r="A71" s="4">
        <v>40965</v>
      </c>
      <c r="B71" s="23">
        <f t="shared" si="4"/>
        <v>7629.6116822305412</v>
      </c>
      <c r="C71" s="19">
        <v>2119.3535330899999</v>
      </c>
      <c r="D71" s="20">
        <f t="shared" si="1"/>
        <v>182.23014431619711</v>
      </c>
      <c r="E71" s="26">
        <f t="shared" si="2"/>
        <v>1354.7878568972246</v>
      </c>
      <c r="F71" s="18">
        <v>376.33297088891112</v>
      </c>
      <c r="G71" s="22">
        <f t="shared" si="3"/>
        <v>32.358552042066123</v>
      </c>
    </row>
    <row r="72" spans="1:7">
      <c r="A72" s="4">
        <v>40966</v>
      </c>
      <c r="B72" s="18">
        <f t="shared" si="4"/>
        <v>7653.2488874829005</v>
      </c>
      <c r="C72" s="19">
        <v>2125.9194759650004</v>
      </c>
      <c r="D72" s="20">
        <f t="shared" si="1"/>
        <v>182.79470926442391</v>
      </c>
      <c r="E72" s="21">
        <f t="shared" si="2"/>
        <v>1469.7489286628304</v>
      </c>
      <c r="F72" s="18">
        <v>408.26685740396107</v>
      </c>
      <c r="G72" s="22">
        <f t="shared" si="3"/>
        <v>35.104350068377528</v>
      </c>
    </row>
    <row r="73" spans="1:7">
      <c r="A73" s="4">
        <v>40967</v>
      </c>
      <c r="B73" s="18">
        <f t="shared" si="4"/>
        <v>7644.4505282777736</v>
      </c>
      <c r="C73" s="19">
        <v>2123.4754677450001</v>
      </c>
      <c r="D73" s="20">
        <f t="shared" si="1"/>
        <v>182.58456406510396</v>
      </c>
      <c r="E73" s="21">
        <f t="shared" si="2"/>
        <v>1395.0045475485394</v>
      </c>
      <c r="F73" s="18">
        <v>387.50436321803335</v>
      </c>
      <c r="G73" s="22">
        <f t="shared" si="3"/>
        <v>33.319111195866519</v>
      </c>
    </row>
    <row r="74" spans="1:7">
      <c r="A74" s="4">
        <v>40968</v>
      </c>
      <c r="B74" s="23">
        <f t="shared" si="4"/>
        <v>7575.3489574843397</v>
      </c>
      <c r="C74" s="19">
        <v>2104.2804334100001</v>
      </c>
      <c r="D74" s="20">
        <f t="shared" si="1"/>
        <v>180.93410140165136</v>
      </c>
      <c r="E74" s="26">
        <f t="shared" si="2"/>
        <v>1222.1670759188426</v>
      </c>
      <c r="F74" s="18">
        <v>339.49357034873611</v>
      </c>
      <c r="G74" s="22">
        <f t="shared" si="3"/>
        <v>29.190959107644083</v>
      </c>
    </row>
    <row r="75" spans="1:7">
      <c r="A75" s="3"/>
      <c r="B75" s="6"/>
      <c r="C75" s="7"/>
      <c r="D75" s="16"/>
      <c r="E75" s="17"/>
      <c r="F75" s="6"/>
      <c r="G75" s="10"/>
    </row>
    <row r="76" spans="1:7">
      <c r="A76" s="3"/>
      <c r="B76" s="11"/>
      <c r="C76" s="12"/>
      <c r="D76" s="13"/>
      <c r="E76" s="14"/>
      <c r="F76" s="11"/>
      <c r="G76" s="15"/>
    </row>
    <row r="77" spans="1:7">
      <c r="A77" s="3"/>
      <c r="B77" s="6"/>
      <c r="C77" s="7"/>
      <c r="D77" s="16"/>
      <c r="E77" s="17"/>
      <c r="F77" s="6"/>
      <c r="G77" s="10"/>
    </row>
    <row r="78" spans="1:7">
      <c r="A78" s="3"/>
      <c r="B78" s="11"/>
      <c r="C78" s="12"/>
      <c r="D78" s="13"/>
      <c r="E78" s="14"/>
      <c r="F78" s="11"/>
      <c r="G78" s="15"/>
    </row>
    <row r="79" spans="1:7">
      <c r="A79" s="3"/>
      <c r="B79" s="6"/>
      <c r="C79" s="7"/>
      <c r="D79" s="16"/>
      <c r="E79" s="17"/>
      <c r="F79" s="6"/>
      <c r="G79" s="10"/>
    </row>
    <row r="80" spans="1:7">
      <c r="A80" s="3"/>
      <c r="B80" s="11"/>
      <c r="C80" s="12"/>
      <c r="D80" s="13"/>
      <c r="E80" s="14"/>
      <c r="F80" s="11"/>
      <c r="G80" s="15"/>
    </row>
    <row r="81" spans="1:7">
      <c r="A81" s="3"/>
      <c r="B81" s="6"/>
      <c r="C81" s="7"/>
      <c r="D81" s="16"/>
      <c r="E81" s="17"/>
      <c r="F81" s="6"/>
      <c r="G81" s="10"/>
    </row>
    <row r="82" spans="1:7">
      <c r="A82" s="3"/>
      <c r="B82" s="11"/>
      <c r="C82" s="12"/>
      <c r="D82" s="13"/>
      <c r="E82" s="14"/>
      <c r="F82" s="11"/>
      <c r="G82" s="15"/>
    </row>
    <row r="83" spans="1:7">
      <c r="A83" s="3"/>
      <c r="B83" s="6"/>
      <c r="C83" s="12"/>
      <c r="D83" s="13"/>
      <c r="E83" s="17"/>
      <c r="F83" s="11"/>
      <c r="G83" s="15"/>
    </row>
    <row r="84" spans="1:7">
      <c r="A84" s="3"/>
      <c r="B84" s="11"/>
      <c r="C84" s="12"/>
      <c r="D84" s="13"/>
      <c r="E84" s="14"/>
      <c r="F84" s="11"/>
      <c r="G84" s="15"/>
    </row>
    <row r="85" spans="1:7">
      <c r="A85" s="3"/>
      <c r="B85" s="6"/>
      <c r="C85" s="12"/>
      <c r="D85" s="13"/>
      <c r="E85" s="17"/>
      <c r="F85" s="11"/>
      <c r="G85" s="15"/>
    </row>
    <row r="86" spans="1:7">
      <c r="A86" s="3"/>
      <c r="B86" s="11"/>
      <c r="C86" s="12"/>
      <c r="D86" s="13"/>
      <c r="E86" s="14"/>
      <c r="F86" s="11"/>
      <c r="G86" s="15"/>
    </row>
    <row r="87" spans="1:7">
      <c r="A87" s="3"/>
      <c r="B87" s="6"/>
      <c r="C87" s="12"/>
      <c r="D87" s="13"/>
      <c r="E87" s="17"/>
      <c r="F87" s="11"/>
      <c r="G87" s="15"/>
    </row>
    <row r="88" spans="1:7">
      <c r="A88" s="3"/>
      <c r="B88" s="11"/>
      <c r="C88" s="12"/>
      <c r="D88" s="13"/>
      <c r="E88" s="14"/>
      <c r="F88" s="11"/>
      <c r="G88" s="15"/>
    </row>
    <row r="89" spans="1:7">
      <c r="A89" s="3"/>
      <c r="B89" s="6"/>
      <c r="C89" s="12"/>
      <c r="D89" s="13"/>
      <c r="E89" s="17"/>
      <c r="F89" s="11"/>
      <c r="G89" s="15"/>
    </row>
    <row r="90" spans="1:7">
      <c r="A90" s="3"/>
      <c r="B90" s="11"/>
      <c r="C90" s="12"/>
      <c r="D90" s="13"/>
      <c r="E90" s="17"/>
      <c r="F90" s="11"/>
      <c r="G90" s="15"/>
    </row>
    <row r="91" spans="1:7">
      <c r="A91" s="3"/>
      <c r="B91" s="6"/>
      <c r="C91" s="12"/>
      <c r="D91" s="13"/>
      <c r="E91" s="17"/>
      <c r="F91" s="11"/>
      <c r="G91" s="15"/>
    </row>
    <row r="92" spans="1:7">
      <c r="A92" s="3"/>
      <c r="B92" s="11"/>
      <c r="C92" s="12"/>
      <c r="D92" s="13"/>
      <c r="E92" s="14"/>
      <c r="F92" s="11"/>
      <c r="G92" s="15"/>
    </row>
    <row r="93" spans="1:7">
      <c r="A93" s="3"/>
      <c r="B93" s="6"/>
      <c r="C93" s="12"/>
      <c r="D93" s="13"/>
      <c r="E93" s="17"/>
      <c r="F93" s="11"/>
      <c r="G93" s="15"/>
    </row>
    <row r="94" spans="1:7">
      <c r="A94" s="3"/>
      <c r="B94" s="11"/>
      <c r="C94" s="12"/>
      <c r="D94" s="13"/>
      <c r="E94" s="14"/>
      <c r="F94" s="11"/>
      <c r="G94" s="15"/>
    </row>
    <row r="95" spans="1:7">
      <c r="A95" s="3"/>
      <c r="B95" s="6"/>
      <c r="C95" s="12"/>
      <c r="D95" s="13"/>
      <c r="E95" s="17"/>
      <c r="F95" s="11"/>
      <c r="G95" s="15"/>
    </row>
    <row r="96" spans="1:7">
      <c r="A96" s="3"/>
      <c r="B96" s="11"/>
      <c r="C96" s="12"/>
      <c r="D96" s="13"/>
      <c r="E96" s="14"/>
      <c r="F96" s="11"/>
      <c r="G96" s="15"/>
    </row>
    <row r="97" spans="1:7">
      <c r="A97" s="3"/>
      <c r="B97" s="6"/>
      <c r="C97" s="12"/>
      <c r="D97" s="13"/>
      <c r="E97" s="17"/>
      <c r="F97" s="11"/>
      <c r="G97" s="15"/>
    </row>
    <row r="98" spans="1:7">
      <c r="A98" s="3"/>
      <c r="B98" s="11"/>
      <c r="C98" s="12"/>
      <c r="D98" s="13"/>
      <c r="E98" s="14"/>
      <c r="F98" s="11"/>
      <c r="G98" s="15"/>
    </row>
    <row r="99" spans="1:7">
      <c r="A99" s="3"/>
      <c r="B99" s="6"/>
      <c r="C99" s="12"/>
      <c r="D99" s="13"/>
      <c r="E99" s="17"/>
      <c r="F99" s="11"/>
      <c r="G99" s="15"/>
    </row>
    <row r="100" spans="1:7">
      <c r="A100" s="3"/>
      <c r="B100" s="11"/>
      <c r="C100" s="12"/>
      <c r="D100" s="13"/>
      <c r="E100" s="14"/>
      <c r="F100" s="11"/>
      <c r="G100" s="15"/>
    </row>
    <row r="101" spans="1:7">
      <c r="A101" s="3"/>
      <c r="B101" s="6"/>
      <c r="C101" s="12"/>
      <c r="D101" s="13"/>
      <c r="E101" s="17"/>
      <c r="F101" s="11"/>
      <c r="G101" s="15"/>
    </row>
    <row r="102" spans="1:7">
      <c r="A102" s="3"/>
      <c r="B102" s="11"/>
      <c r="C102" s="12"/>
      <c r="D102" s="13"/>
      <c r="E102" s="14"/>
      <c r="F102" s="11"/>
      <c r="G102" s="15"/>
    </row>
    <row r="103" spans="1:7">
      <c r="A103" s="3"/>
      <c r="B103" s="6"/>
      <c r="C103" s="7"/>
      <c r="D103" s="16"/>
      <c r="E103" s="17"/>
      <c r="F103" s="6"/>
      <c r="G103" s="10"/>
    </row>
    <row r="104" spans="1:7">
      <c r="A104" s="3"/>
      <c r="B104" s="11"/>
      <c r="C104" s="12"/>
      <c r="D104" s="13"/>
      <c r="E104" s="14"/>
      <c r="F104" s="11"/>
      <c r="G104" s="15"/>
    </row>
    <row r="105" spans="1:7">
      <c r="A105" s="3"/>
      <c r="B105" s="11"/>
      <c r="C105" s="12"/>
      <c r="D105" s="13"/>
      <c r="E105" s="14"/>
      <c r="F105" s="11"/>
      <c r="G105" s="15"/>
    </row>
    <row r="106" spans="1:7">
      <c r="A106" s="4"/>
      <c r="B106" s="23"/>
      <c r="C106" s="24"/>
      <c r="D106" s="25"/>
      <c r="E106" s="26"/>
      <c r="F106" s="23"/>
      <c r="G106" s="27"/>
    </row>
    <row r="107" spans="1:7">
      <c r="A107" s="4"/>
      <c r="B107" s="23"/>
      <c r="C107" s="24"/>
      <c r="D107" s="25"/>
      <c r="E107" s="26"/>
      <c r="F107" s="23"/>
      <c r="G107" s="27"/>
    </row>
    <row r="108" spans="1:7">
      <c r="A108" s="4"/>
      <c r="B108" s="23"/>
      <c r="C108" s="24"/>
      <c r="D108" s="25"/>
      <c r="E108" s="26"/>
      <c r="F108" s="23"/>
      <c r="G108" s="27"/>
    </row>
    <row r="109" spans="1:7">
      <c r="A109" s="4"/>
      <c r="B109" s="23"/>
      <c r="C109" s="24"/>
      <c r="D109" s="25"/>
      <c r="E109" s="26"/>
      <c r="F109" s="23"/>
      <c r="G109" s="27"/>
    </row>
    <row r="110" spans="1:7">
      <c r="A110" s="4"/>
      <c r="B110" s="23"/>
      <c r="C110" s="24"/>
      <c r="D110" s="25"/>
      <c r="E110" s="26"/>
      <c r="F110" s="23"/>
      <c r="G110" s="27"/>
    </row>
    <row r="111" spans="1:7">
      <c r="A111" s="4"/>
      <c r="B111" s="23"/>
      <c r="C111" s="24"/>
      <c r="D111" s="25"/>
      <c r="E111" s="26"/>
      <c r="F111" s="23"/>
      <c r="G111" s="27"/>
    </row>
    <row r="112" spans="1:7">
      <c r="A112" s="4"/>
      <c r="B112" s="23"/>
      <c r="C112" s="24"/>
      <c r="D112" s="25"/>
      <c r="E112" s="26"/>
      <c r="F112" s="23"/>
      <c r="G112" s="27"/>
    </row>
    <row r="113" spans="1:7">
      <c r="A113" s="4"/>
      <c r="B113" s="23"/>
      <c r="C113" s="24"/>
      <c r="D113" s="25"/>
      <c r="E113" s="26"/>
      <c r="F113" s="23"/>
      <c r="G113" s="27"/>
    </row>
    <row r="114" spans="1:7">
      <c r="A114" s="4"/>
      <c r="B114" s="23"/>
      <c r="C114" s="24"/>
      <c r="D114" s="25"/>
      <c r="E114" s="26"/>
      <c r="F114" s="23"/>
      <c r="G114" s="27"/>
    </row>
    <row r="115" spans="1:7">
      <c r="A115" s="4"/>
      <c r="B115" s="23"/>
      <c r="C115" s="24"/>
      <c r="D115" s="25"/>
      <c r="E115" s="26"/>
      <c r="F115" s="23"/>
      <c r="G115" s="27"/>
    </row>
    <row r="116" spans="1:7">
      <c r="A116" s="4"/>
      <c r="B116" s="23"/>
      <c r="C116" s="24"/>
      <c r="D116" s="25"/>
      <c r="E116" s="26"/>
      <c r="F116" s="23"/>
      <c r="G116" s="27"/>
    </row>
    <row r="117" spans="1:7">
      <c r="A117" s="4"/>
      <c r="B117" s="23"/>
      <c r="C117" s="24"/>
      <c r="D117" s="25"/>
      <c r="E117" s="26"/>
      <c r="F117" s="23"/>
      <c r="G117" s="27"/>
    </row>
    <row r="118" spans="1:7">
      <c r="A118" s="4"/>
      <c r="B118" s="23"/>
      <c r="C118" s="24"/>
      <c r="D118" s="25"/>
      <c r="E118" s="26"/>
      <c r="F118" s="23"/>
      <c r="G118" s="27"/>
    </row>
    <row r="119" spans="1:7">
      <c r="A119" s="4"/>
      <c r="B119" s="23"/>
      <c r="C119" s="24"/>
      <c r="D119" s="25"/>
      <c r="E119" s="26"/>
      <c r="F119" s="23"/>
      <c r="G119" s="27"/>
    </row>
    <row r="120" spans="1:7">
      <c r="A120" s="4"/>
      <c r="B120" s="23"/>
      <c r="C120" s="24"/>
      <c r="D120" s="25"/>
      <c r="E120" s="26"/>
      <c r="F120" s="23"/>
      <c r="G120" s="27"/>
    </row>
    <row r="121" spans="1:7">
      <c r="A121" s="4"/>
      <c r="B121" s="23"/>
      <c r="C121" s="24"/>
      <c r="D121" s="25"/>
      <c r="E121" s="26"/>
      <c r="F121" s="23"/>
      <c r="G121" s="27"/>
    </row>
    <row r="122" spans="1:7">
      <c r="A122" s="4"/>
      <c r="B122" s="23"/>
      <c r="C122" s="24"/>
      <c r="D122" s="25"/>
      <c r="E122" s="26"/>
      <c r="F122" s="23"/>
      <c r="G122" s="27"/>
    </row>
    <row r="123" spans="1:7">
      <c r="A123" s="4"/>
      <c r="B123" s="23"/>
      <c r="C123" s="24"/>
      <c r="D123" s="25"/>
      <c r="E123" s="26"/>
      <c r="F123" s="23"/>
      <c r="G123" s="27"/>
    </row>
    <row r="124" spans="1:7">
      <c r="A124" s="4"/>
      <c r="B124" s="23"/>
      <c r="C124" s="24"/>
      <c r="D124" s="25"/>
      <c r="E124" s="26"/>
      <c r="F124" s="23"/>
      <c r="G124" s="27"/>
    </row>
    <row r="125" spans="1:7">
      <c r="A125" s="4"/>
      <c r="B125" s="23"/>
      <c r="C125" s="24"/>
      <c r="D125" s="25"/>
      <c r="E125" s="26"/>
      <c r="F125" s="23"/>
      <c r="G125" s="27"/>
    </row>
    <row r="126" spans="1:7">
      <c r="A126" s="4"/>
      <c r="B126" s="23"/>
      <c r="C126" s="24"/>
      <c r="D126" s="25"/>
      <c r="E126" s="26"/>
      <c r="F126" s="23"/>
      <c r="G126" s="27"/>
    </row>
    <row r="127" spans="1:7">
      <c r="A127" s="4"/>
      <c r="B127" s="23"/>
      <c r="C127" s="24"/>
      <c r="D127" s="25"/>
      <c r="E127" s="26"/>
      <c r="F127" s="23"/>
      <c r="G127" s="27"/>
    </row>
    <row r="128" spans="1:7">
      <c r="A128" s="4"/>
      <c r="B128" s="23"/>
      <c r="C128" s="24"/>
      <c r="D128" s="25"/>
      <c r="E128" s="26"/>
      <c r="F128" s="23"/>
      <c r="G128" s="27"/>
    </row>
    <row r="129" spans="1:7">
      <c r="A129" s="4"/>
      <c r="B129" s="23"/>
      <c r="C129" s="24"/>
      <c r="D129" s="25"/>
      <c r="E129" s="26"/>
      <c r="F129" s="23"/>
      <c r="G129" s="27"/>
    </row>
    <row r="130" spans="1:7">
      <c r="A130" s="4"/>
      <c r="B130" s="23"/>
      <c r="C130" s="24"/>
      <c r="D130" s="25"/>
      <c r="E130" s="26"/>
      <c r="F130" s="23"/>
      <c r="G130" s="27"/>
    </row>
    <row r="131" spans="1:7">
      <c r="A131" s="4"/>
      <c r="B131" s="23"/>
      <c r="C131" s="24"/>
      <c r="D131" s="25"/>
      <c r="E131" s="26"/>
      <c r="F131" s="23"/>
      <c r="G131" s="27"/>
    </row>
    <row r="132" spans="1:7">
      <c r="A132" s="4"/>
      <c r="B132" s="23"/>
      <c r="C132" s="24"/>
      <c r="D132" s="25"/>
      <c r="E132" s="26"/>
      <c r="F132" s="23"/>
      <c r="G132" s="27"/>
    </row>
    <row r="133" spans="1:7">
      <c r="A133" s="4"/>
      <c r="B133" s="23"/>
      <c r="C133" s="24"/>
      <c r="D133" s="25"/>
      <c r="E133" s="26"/>
      <c r="F133" s="23"/>
      <c r="G133" s="27"/>
    </row>
    <row r="134" spans="1:7">
      <c r="A134" s="4"/>
      <c r="B134" s="23"/>
      <c r="C134" s="24"/>
      <c r="D134" s="25"/>
      <c r="E134" s="26"/>
      <c r="F134" s="23"/>
      <c r="G134" s="27"/>
    </row>
    <row r="135" spans="1:7">
      <c r="A135" s="4"/>
      <c r="B135" s="23"/>
      <c r="C135" s="24"/>
      <c r="D135" s="25"/>
      <c r="E135" s="26"/>
      <c r="F135" s="23"/>
      <c r="G135" s="27"/>
    </row>
    <row r="136" spans="1:7">
      <c r="A136" s="3"/>
      <c r="B136" s="11"/>
      <c r="C136" s="11"/>
      <c r="D136" s="11"/>
      <c r="E136" s="14"/>
      <c r="F136" s="11"/>
      <c r="G136" s="15"/>
    </row>
    <row r="137" spans="1:7">
      <c r="A137" s="3"/>
      <c r="B137" s="11"/>
      <c r="C137" s="11"/>
      <c r="D137" s="11"/>
      <c r="E137" s="14"/>
      <c r="F137" s="11"/>
      <c r="G137" s="15"/>
    </row>
    <row r="138" spans="1:7">
      <c r="A138" s="3"/>
      <c r="B138" s="11"/>
      <c r="C138" s="12"/>
      <c r="D138" s="11"/>
      <c r="E138" s="14"/>
      <c r="F138" s="11"/>
      <c r="G138" s="15"/>
    </row>
    <row r="139" spans="1:7">
      <c r="A139" s="3"/>
      <c r="B139" s="11"/>
      <c r="C139" s="12"/>
      <c r="D139" s="11"/>
      <c r="E139" s="14"/>
      <c r="F139" s="11"/>
      <c r="G139" s="15"/>
    </row>
    <row r="140" spans="1:7">
      <c r="A140" s="3"/>
      <c r="B140" s="11"/>
      <c r="C140" s="12"/>
      <c r="D140" s="11"/>
      <c r="E140" s="14"/>
      <c r="F140" s="11"/>
      <c r="G140" s="15"/>
    </row>
    <row r="141" spans="1:7">
      <c r="A141" s="3"/>
      <c r="B141" s="11"/>
      <c r="C141" s="12"/>
      <c r="D141" s="11"/>
      <c r="E141" s="14"/>
      <c r="F141" s="11"/>
      <c r="G141" s="15"/>
    </row>
    <row r="142" spans="1:7">
      <c r="A142" s="3"/>
      <c r="B142" s="11"/>
      <c r="C142" s="12"/>
      <c r="D142" s="11"/>
      <c r="E142" s="14"/>
      <c r="F142" s="11"/>
      <c r="G142" s="15"/>
    </row>
    <row r="143" spans="1:7">
      <c r="A143" s="3"/>
      <c r="B143" s="11"/>
      <c r="C143" s="12"/>
      <c r="D143" s="11"/>
      <c r="E143" s="14"/>
      <c r="F143" s="11"/>
      <c r="G143" s="15"/>
    </row>
    <row r="144" spans="1:7">
      <c r="A144" s="3"/>
      <c r="B144" s="11"/>
      <c r="C144" s="12"/>
      <c r="D144" s="11"/>
      <c r="E144" s="14"/>
      <c r="F144" s="11"/>
      <c r="G144" s="15"/>
    </row>
    <row r="145" spans="1:7">
      <c r="A145" s="3"/>
      <c r="B145" s="11"/>
      <c r="C145" s="12"/>
      <c r="D145" s="11"/>
      <c r="E145" s="14"/>
      <c r="F145" s="11"/>
      <c r="G145" s="15"/>
    </row>
    <row r="146" spans="1:7">
      <c r="A146" s="3"/>
      <c r="B146" s="11"/>
      <c r="C146" s="12"/>
      <c r="D146" s="11"/>
      <c r="E146" s="14"/>
      <c r="F146" s="11"/>
      <c r="G146" s="15"/>
    </row>
    <row r="147" spans="1:7">
      <c r="A147" s="3"/>
      <c r="B147" s="11"/>
      <c r="C147" s="12"/>
      <c r="D147" s="11"/>
      <c r="E147" s="14"/>
      <c r="F147" s="11"/>
      <c r="G147" s="15"/>
    </row>
    <row r="148" spans="1:7">
      <c r="A148" s="3"/>
      <c r="B148" s="11"/>
      <c r="C148" s="12"/>
      <c r="D148" s="11"/>
      <c r="E148" s="14"/>
      <c r="F148" s="11"/>
      <c r="G148" s="15"/>
    </row>
    <row r="149" spans="1:7">
      <c r="A149" s="3"/>
      <c r="B149" s="11"/>
      <c r="C149" s="12"/>
      <c r="D149" s="11"/>
      <c r="E149" s="14"/>
      <c r="F149" s="11"/>
      <c r="G149" s="15"/>
    </row>
    <row r="150" spans="1:7">
      <c r="A150" s="3"/>
      <c r="B150" s="11"/>
      <c r="C150" s="12"/>
      <c r="D150" s="11"/>
      <c r="E150" s="14"/>
      <c r="F150" s="11"/>
      <c r="G150" s="15"/>
    </row>
    <row r="151" spans="1:7">
      <c r="A151" s="3"/>
      <c r="B151" s="11"/>
      <c r="C151" s="12"/>
      <c r="D151" s="11"/>
      <c r="E151" s="14"/>
      <c r="F151" s="11"/>
      <c r="G151" s="15"/>
    </row>
    <row r="152" spans="1:7">
      <c r="A152" s="3"/>
      <c r="B152" s="11"/>
      <c r="C152" s="12"/>
      <c r="D152" s="11"/>
      <c r="E152" s="14"/>
      <c r="F152" s="11"/>
      <c r="G152" s="15"/>
    </row>
    <row r="153" spans="1:7">
      <c r="A153" s="3"/>
      <c r="B153" s="11"/>
      <c r="C153" s="12"/>
      <c r="D153" s="11"/>
      <c r="E153" s="14"/>
      <c r="F153" s="11"/>
      <c r="G153" s="15"/>
    </row>
    <row r="154" spans="1:7">
      <c r="A154" s="3"/>
      <c r="B154" s="11"/>
      <c r="C154" s="12"/>
      <c r="D154" s="11"/>
      <c r="E154" s="14"/>
      <c r="F154" s="11"/>
      <c r="G154" s="15"/>
    </row>
    <row r="155" spans="1:7">
      <c r="A155" s="3"/>
      <c r="B155" s="11"/>
      <c r="C155" s="12"/>
      <c r="D155" s="11"/>
      <c r="E155" s="14"/>
      <c r="F155" s="11"/>
      <c r="G155" s="15"/>
    </row>
    <row r="156" spans="1:7">
      <c r="A156" s="3"/>
      <c r="B156" s="11"/>
      <c r="C156" s="12"/>
      <c r="D156" s="11"/>
      <c r="E156" s="14"/>
      <c r="F156" s="11"/>
      <c r="G156" s="15"/>
    </row>
    <row r="157" spans="1:7">
      <c r="A157" s="3"/>
      <c r="B157" s="11"/>
      <c r="C157" s="12"/>
      <c r="D157" s="11"/>
      <c r="E157" s="14"/>
      <c r="F157" s="11"/>
      <c r="G157" s="15"/>
    </row>
    <row r="158" spans="1:7">
      <c r="A158" s="3"/>
      <c r="B158" s="11"/>
      <c r="C158" s="12"/>
      <c r="D158" s="11"/>
      <c r="E158" s="14"/>
      <c r="F158" s="11"/>
      <c r="G158" s="15"/>
    </row>
    <row r="159" spans="1:7">
      <c r="A159" s="3"/>
      <c r="B159" s="11"/>
      <c r="C159" s="12"/>
      <c r="D159" s="11"/>
      <c r="E159" s="14"/>
      <c r="F159" s="11"/>
      <c r="G159" s="15"/>
    </row>
    <row r="160" spans="1:7">
      <c r="A160" s="3"/>
      <c r="B160" s="11"/>
      <c r="C160" s="12"/>
      <c r="D160" s="11"/>
      <c r="E160" s="14"/>
      <c r="F160" s="11"/>
      <c r="G160" s="15"/>
    </row>
    <row r="161" spans="1:7">
      <c r="A161" s="3"/>
      <c r="B161" s="11"/>
      <c r="C161" s="12"/>
      <c r="D161" s="11"/>
      <c r="E161" s="14"/>
      <c r="F161" s="11"/>
      <c r="G161" s="15"/>
    </row>
    <row r="162" spans="1:7">
      <c r="A162" s="3"/>
      <c r="B162" s="11"/>
      <c r="C162" s="12"/>
      <c r="D162" s="11"/>
      <c r="E162" s="14"/>
      <c r="F162" s="11"/>
      <c r="G162" s="15"/>
    </row>
    <row r="163" spans="1:7">
      <c r="A163" s="3"/>
      <c r="B163" s="11"/>
      <c r="C163" s="12"/>
      <c r="D163" s="11"/>
      <c r="E163" s="14"/>
      <c r="F163" s="11"/>
      <c r="G163" s="15"/>
    </row>
    <row r="164" spans="1:7">
      <c r="A164" s="3"/>
      <c r="B164" s="11"/>
      <c r="C164" s="12"/>
      <c r="D164" s="11"/>
      <c r="E164" s="14"/>
      <c r="F164" s="11"/>
      <c r="G164" s="15"/>
    </row>
    <row r="165" spans="1:7">
      <c r="A165" s="3"/>
      <c r="B165" s="11"/>
      <c r="C165" s="12"/>
      <c r="D165" s="11"/>
      <c r="E165" s="14"/>
      <c r="F165" s="11"/>
      <c r="G165" s="15"/>
    </row>
    <row r="166" spans="1:7">
      <c r="A166" s="3"/>
      <c r="B166" s="11"/>
      <c r="C166" s="12"/>
      <c r="D166" s="11"/>
      <c r="E166" s="14"/>
      <c r="F166" s="11"/>
      <c r="G166" s="15"/>
    </row>
    <row r="167" spans="1:7">
      <c r="A167" s="4"/>
      <c r="B167" s="23"/>
      <c r="C167" s="24"/>
      <c r="D167" s="25"/>
      <c r="E167" s="26"/>
      <c r="F167" s="23"/>
      <c r="G167" s="27"/>
    </row>
    <row r="168" spans="1:7">
      <c r="A168" s="4"/>
      <c r="B168" s="23"/>
      <c r="C168" s="24"/>
      <c r="D168" s="25"/>
      <c r="E168" s="26"/>
      <c r="F168" s="23"/>
      <c r="G168" s="27"/>
    </row>
    <row r="169" spans="1:7">
      <c r="A169" s="4"/>
      <c r="B169" s="23"/>
      <c r="C169" s="24"/>
      <c r="D169" s="25"/>
      <c r="E169" s="26"/>
      <c r="F169" s="23"/>
      <c r="G169" s="27"/>
    </row>
    <row r="170" spans="1:7">
      <c r="A170" s="4"/>
      <c r="B170" s="23"/>
      <c r="C170" s="24"/>
      <c r="D170" s="25"/>
      <c r="E170" s="26"/>
      <c r="F170" s="23"/>
      <c r="G170" s="27"/>
    </row>
    <row r="171" spans="1:7">
      <c r="A171" s="4"/>
      <c r="B171" s="23"/>
      <c r="C171" s="24"/>
      <c r="D171" s="25"/>
      <c r="E171" s="26"/>
      <c r="F171" s="23"/>
      <c r="G171" s="27"/>
    </row>
    <row r="172" spans="1:7">
      <c r="A172" s="4"/>
      <c r="B172" s="23"/>
      <c r="C172" s="24"/>
      <c r="D172" s="25"/>
      <c r="E172" s="26"/>
      <c r="F172" s="23"/>
      <c r="G172" s="27"/>
    </row>
    <row r="173" spans="1:7">
      <c r="A173" s="4"/>
      <c r="B173" s="23"/>
      <c r="C173" s="24"/>
      <c r="D173" s="25"/>
      <c r="E173" s="26"/>
      <c r="F173" s="23"/>
      <c r="G173" s="27"/>
    </row>
    <row r="174" spans="1:7">
      <c r="A174" s="4"/>
      <c r="B174" s="23"/>
      <c r="C174" s="24"/>
      <c r="D174" s="25"/>
      <c r="E174" s="26"/>
      <c r="F174" s="23"/>
      <c r="G174" s="27"/>
    </row>
    <row r="175" spans="1:7">
      <c r="A175" s="4"/>
      <c r="B175" s="23"/>
      <c r="C175" s="24"/>
      <c r="D175" s="25"/>
      <c r="E175" s="26"/>
      <c r="F175" s="23"/>
      <c r="G175" s="27"/>
    </row>
    <row r="176" spans="1:7">
      <c r="A176" s="4"/>
      <c r="B176" s="23"/>
      <c r="C176" s="24"/>
      <c r="D176" s="25"/>
      <c r="E176" s="26"/>
      <c r="F176" s="23"/>
      <c r="G176" s="27"/>
    </row>
    <row r="177" spans="1:7">
      <c r="A177" s="4"/>
      <c r="B177" s="23"/>
      <c r="C177" s="24"/>
      <c r="D177" s="25"/>
      <c r="E177" s="26"/>
      <c r="F177" s="23"/>
      <c r="G177" s="27"/>
    </row>
    <row r="178" spans="1:7">
      <c r="A178" s="4"/>
      <c r="B178" s="23"/>
      <c r="C178" s="24"/>
      <c r="D178" s="25"/>
      <c r="E178" s="26"/>
      <c r="F178" s="23"/>
      <c r="G178" s="27"/>
    </row>
    <row r="179" spans="1:7">
      <c r="A179" s="4"/>
      <c r="B179" s="23"/>
      <c r="C179" s="24"/>
      <c r="D179" s="25"/>
      <c r="E179" s="26"/>
      <c r="F179" s="23"/>
      <c r="G179" s="27"/>
    </row>
    <row r="180" spans="1:7">
      <c r="A180" s="4"/>
      <c r="B180" s="23"/>
      <c r="C180" s="24"/>
      <c r="D180" s="25"/>
      <c r="E180" s="26"/>
      <c r="F180" s="23"/>
      <c r="G180" s="27"/>
    </row>
    <row r="181" spans="1:7">
      <c r="A181" s="4"/>
      <c r="B181" s="23"/>
      <c r="C181" s="24"/>
      <c r="D181" s="25"/>
      <c r="E181" s="26"/>
      <c r="F181" s="23"/>
      <c r="G181" s="27"/>
    </row>
    <row r="182" spans="1:7">
      <c r="A182" s="4"/>
      <c r="B182" s="23"/>
      <c r="C182" s="24"/>
      <c r="D182" s="25"/>
      <c r="E182" s="26"/>
      <c r="F182" s="23"/>
      <c r="G182" s="27"/>
    </row>
    <row r="183" spans="1:7">
      <c r="A183" s="4"/>
      <c r="B183" s="23"/>
      <c r="C183" s="24"/>
      <c r="D183" s="25"/>
      <c r="E183" s="26"/>
      <c r="F183" s="23"/>
      <c r="G183" s="27"/>
    </row>
    <row r="184" spans="1:7">
      <c r="A184" s="4"/>
      <c r="B184" s="23"/>
      <c r="C184" s="24"/>
      <c r="D184" s="25"/>
      <c r="E184" s="26"/>
      <c r="F184" s="23"/>
      <c r="G184" s="27"/>
    </row>
    <row r="185" spans="1:7">
      <c r="A185" s="4"/>
      <c r="B185" s="23"/>
      <c r="C185" s="24"/>
      <c r="D185" s="25"/>
      <c r="E185" s="26"/>
      <c r="F185" s="23"/>
      <c r="G185" s="27"/>
    </row>
    <row r="186" spans="1:7">
      <c r="A186" s="4"/>
      <c r="B186" s="23"/>
      <c r="C186" s="24"/>
      <c r="D186" s="25"/>
      <c r="E186" s="26"/>
      <c r="F186" s="23"/>
      <c r="G186" s="27"/>
    </row>
    <row r="187" spans="1:7">
      <c r="A187" s="4"/>
      <c r="B187" s="23"/>
      <c r="C187" s="24"/>
      <c r="D187" s="25"/>
      <c r="E187" s="26"/>
      <c r="F187" s="23"/>
      <c r="G187" s="27"/>
    </row>
    <row r="188" spans="1:7">
      <c r="A188" s="4"/>
      <c r="B188" s="23"/>
      <c r="C188" s="24"/>
      <c r="D188" s="25"/>
      <c r="E188" s="26"/>
      <c r="F188" s="23"/>
      <c r="G188" s="27"/>
    </row>
    <row r="189" spans="1:7">
      <c r="A189" s="4"/>
      <c r="B189" s="23"/>
      <c r="C189" s="24"/>
      <c r="D189" s="25"/>
      <c r="E189" s="26"/>
      <c r="F189" s="23"/>
      <c r="G189" s="27"/>
    </row>
    <row r="190" spans="1:7">
      <c r="A190" s="4"/>
      <c r="B190" s="23"/>
      <c r="C190" s="24"/>
      <c r="D190" s="25"/>
      <c r="E190" s="26"/>
      <c r="F190" s="23"/>
      <c r="G190" s="27"/>
    </row>
    <row r="191" spans="1:7">
      <c r="A191" s="4"/>
      <c r="B191" s="23"/>
      <c r="C191" s="24"/>
      <c r="D191" s="25"/>
      <c r="E191" s="26"/>
      <c r="F191" s="23"/>
      <c r="G191" s="27"/>
    </row>
    <row r="192" spans="1:7">
      <c r="A192" s="4"/>
      <c r="B192" s="23"/>
      <c r="C192" s="24"/>
      <c r="D192" s="25"/>
      <c r="E192" s="26"/>
      <c r="F192" s="23"/>
      <c r="G192" s="27"/>
    </row>
    <row r="193" spans="1:7">
      <c r="A193" s="4"/>
      <c r="B193" s="23"/>
      <c r="C193" s="24"/>
      <c r="D193" s="25"/>
      <c r="E193" s="26"/>
      <c r="F193" s="23"/>
      <c r="G193" s="27"/>
    </row>
    <row r="194" spans="1:7">
      <c r="A194" s="4"/>
      <c r="B194" s="23"/>
      <c r="C194" s="24"/>
      <c r="D194" s="25"/>
      <c r="E194" s="26"/>
      <c r="F194" s="23"/>
      <c r="G194" s="27"/>
    </row>
    <row r="195" spans="1:7">
      <c r="A195" s="4"/>
      <c r="B195" s="23"/>
      <c r="C195" s="24"/>
      <c r="D195" s="25"/>
      <c r="E195" s="26"/>
      <c r="F195" s="23"/>
      <c r="G195" s="27"/>
    </row>
    <row r="196" spans="1:7">
      <c r="A196" s="4"/>
      <c r="B196" s="23"/>
      <c r="C196" s="24"/>
      <c r="D196" s="25"/>
      <c r="E196" s="26"/>
      <c r="F196" s="23"/>
      <c r="G196" s="27"/>
    </row>
    <row r="197" spans="1:7">
      <c r="A197" s="3"/>
      <c r="B197" s="11"/>
      <c r="C197" s="11"/>
      <c r="D197" s="33"/>
      <c r="E197" s="11"/>
      <c r="F197" s="11"/>
      <c r="G197" s="34"/>
    </row>
    <row r="198" spans="1:7">
      <c r="A198" s="3"/>
      <c r="B198" s="11"/>
      <c r="C198" s="12"/>
      <c r="D198" s="33"/>
      <c r="E198" s="11"/>
      <c r="F198" s="11"/>
      <c r="G198" s="34"/>
    </row>
    <row r="199" spans="1:7">
      <c r="A199" s="3"/>
      <c r="B199" s="11"/>
      <c r="C199" s="12"/>
      <c r="D199" s="33"/>
      <c r="E199" s="11"/>
      <c r="F199" s="11"/>
      <c r="G199" s="34"/>
    </row>
    <row r="200" spans="1:7">
      <c r="A200" s="3"/>
      <c r="B200" s="11"/>
      <c r="C200" s="12"/>
      <c r="D200" s="33"/>
      <c r="E200" s="11"/>
      <c r="F200" s="11"/>
      <c r="G200" s="34"/>
    </row>
    <row r="201" spans="1:7">
      <c r="A201" s="3"/>
      <c r="B201" s="11"/>
      <c r="C201" s="12"/>
      <c r="D201" s="33"/>
      <c r="E201" s="11"/>
      <c r="F201" s="11"/>
      <c r="G201" s="34"/>
    </row>
    <row r="202" spans="1:7">
      <c r="A202" s="3"/>
      <c r="B202" s="11"/>
      <c r="C202" s="12"/>
      <c r="D202" s="33"/>
      <c r="E202" s="11"/>
      <c r="F202" s="11"/>
      <c r="G202" s="34"/>
    </row>
    <row r="203" spans="1:7">
      <c r="A203" s="3"/>
      <c r="B203" s="11"/>
      <c r="C203" s="12"/>
      <c r="D203" s="33"/>
      <c r="E203" s="11"/>
      <c r="F203" s="11"/>
      <c r="G203" s="34"/>
    </row>
    <row r="204" spans="1:7">
      <c r="A204" s="3"/>
      <c r="B204" s="11"/>
      <c r="C204" s="12"/>
      <c r="D204" s="33"/>
      <c r="E204" s="11"/>
      <c r="F204" s="11"/>
      <c r="G204" s="34"/>
    </row>
    <row r="205" spans="1:7">
      <c r="A205" s="3"/>
      <c r="B205" s="11"/>
      <c r="C205" s="12"/>
      <c r="D205" s="33"/>
      <c r="E205" s="11"/>
      <c r="F205" s="11"/>
      <c r="G205" s="34"/>
    </row>
    <row r="206" spans="1:7">
      <c r="A206" s="3"/>
      <c r="B206" s="11"/>
      <c r="C206" s="12"/>
      <c r="D206" s="33"/>
      <c r="E206" s="11"/>
      <c r="F206" s="11"/>
      <c r="G206" s="34"/>
    </row>
    <row r="207" spans="1:7">
      <c r="A207" s="3"/>
      <c r="B207" s="11"/>
      <c r="C207" s="12"/>
      <c r="D207" s="33"/>
      <c r="E207" s="11"/>
      <c r="F207" s="11"/>
      <c r="G207" s="34"/>
    </row>
    <row r="208" spans="1:7">
      <c r="A208" s="3"/>
      <c r="B208" s="11"/>
      <c r="C208" s="12"/>
      <c r="D208" s="33"/>
      <c r="E208" s="11"/>
      <c r="F208" s="11"/>
      <c r="G208" s="34"/>
    </row>
    <row r="209" spans="1:7">
      <c r="A209" s="3"/>
      <c r="B209" s="11"/>
      <c r="C209" s="12"/>
      <c r="D209" s="33"/>
      <c r="E209" s="11"/>
      <c r="F209" s="11"/>
      <c r="G209" s="34"/>
    </row>
    <row r="210" spans="1:7">
      <c r="A210" s="3"/>
      <c r="B210" s="11"/>
      <c r="C210" s="12"/>
      <c r="D210" s="33"/>
      <c r="E210" s="11"/>
      <c r="F210" s="11"/>
      <c r="G210" s="34"/>
    </row>
    <row r="211" spans="1:7">
      <c r="A211" s="3"/>
      <c r="B211" s="11"/>
      <c r="C211" s="12"/>
      <c r="D211" s="33"/>
      <c r="E211" s="11"/>
      <c r="F211" s="11"/>
      <c r="G211" s="34"/>
    </row>
    <row r="212" spans="1:7">
      <c r="A212" s="3"/>
      <c r="B212" s="11"/>
      <c r="C212" s="12"/>
      <c r="D212" s="33"/>
      <c r="E212" s="11"/>
      <c r="F212" s="11"/>
      <c r="G212" s="34"/>
    </row>
    <row r="213" spans="1:7">
      <c r="A213" s="3"/>
      <c r="B213" s="11"/>
      <c r="C213" s="12"/>
      <c r="D213" s="33"/>
      <c r="E213" s="11"/>
      <c r="F213" s="11"/>
      <c r="G213" s="34"/>
    </row>
    <row r="214" spans="1:7">
      <c r="A214" s="3"/>
      <c r="B214" s="11"/>
      <c r="C214" s="12"/>
      <c r="D214" s="33"/>
      <c r="E214" s="11"/>
      <c r="F214" s="11"/>
      <c r="G214" s="34"/>
    </row>
    <row r="215" spans="1:7">
      <c r="A215" s="3"/>
      <c r="B215" s="11"/>
      <c r="C215" s="12"/>
      <c r="D215" s="33"/>
      <c r="E215" s="11"/>
      <c r="F215" s="11"/>
      <c r="G215" s="34"/>
    </row>
    <row r="216" spans="1:7">
      <c r="A216" s="3"/>
      <c r="B216" s="11"/>
      <c r="C216" s="12"/>
      <c r="D216" s="33"/>
      <c r="E216" s="11"/>
      <c r="F216" s="11"/>
      <c r="G216" s="34"/>
    </row>
    <row r="217" spans="1:7">
      <c r="A217" s="3"/>
      <c r="B217" s="11"/>
      <c r="C217" s="12"/>
      <c r="D217" s="33"/>
      <c r="E217" s="11"/>
      <c r="F217" s="11"/>
      <c r="G217" s="34"/>
    </row>
    <row r="218" spans="1:7">
      <c r="A218" s="3"/>
      <c r="B218" s="11"/>
      <c r="C218" s="12"/>
      <c r="D218" s="33"/>
      <c r="E218" s="11"/>
      <c r="F218" s="11"/>
      <c r="G218" s="34"/>
    </row>
    <row r="219" spans="1:7">
      <c r="A219" s="3"/>
      <c r="B219" s="11"/>
      <c r="C219" s="12"/>
      <c r="D219" s="33"/>
      <c r="E219" s="11"/>
      <c r="F219" s="11"/>
      <c r="G219" s="34"/>
    </row>
    <row r="220" spans="1:7">
      <c r="A220" s="3"/>
      <c r="B220" s="11"/>
      <c r="C220" s="12"/>
      <c r="D220" s="33"/>
      <c r="E220" s="11"/>
      <c r="F220" s="11"/>
      <c r="G220" s="34"/>
    </row>
    <row r="221" spans="1:7">
      <c r="A221" s="3"/>
      <c r="B221" s="11"/>
      <c r="C221" s="12"/>
      <c r="D221" s="33"/>
      <c r="E221" s="11"/>
      <c r="F221" s="11"/>
      <c r="G221" s="34"/>
    </row>
    <row r="222" spans="1:7">
      <c r="A222" s="3"/>
      <c r="B222" s="11"/>
      <c r="C222" s="12"/>
      <c r="D222" s="33"/>
      <c r="E222" s="11"/>
      <c r="F222" s="11"/>
      <c r="G222" s="34"/>
    </row>
    <row r="223" spans="1:7">
      <c r="A223" s="3"/>
      <c r="B223" s="11"/>
      <c r="C223" s="12"/>
      <c r="D223" s="33"/>
      <c r="E223" s="11"/>
      <c r="F223" s="11"/>
      <c r="G223" s="34"/>
    </row>
    <row r="224" spans="1:7">
      <c r="A224" s="3"/>
      <c r="B224" s="11"/>
      <c r="C224" s="12"/>
      <c r="D224" s="33"/>
      <c r="E224" s="11"/>
      <c r="F224" s="11"/>
      <c r="G224" s="34"/>
    </row>
    <row r="225" spans="1:7">
      <c r="A225" s="3"/>
      <c r="B225" s="11"/>
      <c r="C225" s="12"/>
      <c r="D225" s="33"/>
      <c r="E225" s="11"/>
      <c r="F225" s="11"/>
      <c r="G225" s="34"/>
    </row>
    <row r="226" spans="1:7">
      <c r="A226" s="3"/>
      <c r="B226" s="11"/>
      <c r="C226" s="12"/>
      <c r="D226" s="33"/>
      <c r="E226" s="11"/>
      <c r="F226" s="11"/>
      <c r="G226" s="34"/>
    </row>
    <row r="227" spans="1:7">
      <c r="A227" s="3"/>
      <c r="B227" s="11"/>
      <c r="C227" s="12"/>
      <c r="D227" s="33"/>
      <c r="E227" s="11"/>
      <c r="F227" s="11"/>
      <c r="G227" s="34"/>
    </row>
    <row r="228" spans="1:7">
      <c r="A228" s="4"/>
      <c r="B228" s="23"/>
      <c r="C228" s="24"/>
      <c r="D228" s="25"/>
      <c r="E228" s="26"/>
      <c r="F228" s="23"/>
      <c r="G228" s="27"/>
    </row>
    <row r="229" spans="1:7">
      <c r="A229" s="4"/>
      <c r="B229" s="23"/>
      <c r="C229" s="24"/>
      <c r="D229" s="25"/>
      <c r="E229" s="26"/>
      <c r="F229" s="23"/>
      <c r="G229" s="27"/>
    </row>
    <row r="230" spans="1:7">
      <c r="A230" s="4"/>
      <c r="B230" s="23"/>
      <c r="C230" s="24"/>
      <c r="D230" s="25"/>
      <c r="E230" s="26"/>
      <c r="F230" s="23"/>
      <c r="G230" s="27"/>
    </row>
    <row r="231" spans="1:7">
      <c r="A231" s="4"/>
      <c r="B231" s="23"/>
      <c r="C231" s="24"/>
      <c r="D231" s="25"/>
      <c r="E231" s="26"/>
      <c r="F231" s="23"/>
      <c r="G231" s="27"/>
    </row>
    <row r="232" spans="1:7">
      <c r="A232" s="4"/>
      <c r="B232" s="23"/>
      <c r="C232" s="24"/>
      <c r="D232" s="25"/>
      <c r="E232" s="26"/>
      <c r="F232" s="23"/>
      <c r="G232" s="27"/>
    </row>
    <row r="233" spans="1:7">
      <c r="A233" s="4"/>
      <c r="B233" s="23"/>
      <c r="C233" s="24"/>
      <c r="D233" s="25"/>
      <c r="E233" s="26"/>
      <c r="F233" s="23"/>
      <c r="G233" s="27"/>
    </row>
    <row r="234" spans="1:7">
      <c r="A234" s="4"/>
      <c r="B234" s="23"/>
      <c r="C234" s="24"/>
      <c r="D234" s="25"/>
      <c r="E234" s="26"/>
      <c r="F234" s="23"/>
      <c r="G234" s="27"/>
    </row>
    <row r="235" spans="1:7">
      <c r="A235" s="4"/>
      <c r="B235" s="23"/>
      <c r="C235" s="24"/>
      <c r="D235" s="25"/>
      <c r="E235" s="26"/>
      <c r="F235" s="23"/>
      <c r="G235" s="27"/>
    </row>
    <row r="236" spans="1:7">
      <c r="A236" s="4"/>
      <c r="B236" s="23"/>
      <c r="C236" s="24"/>
      <c r="D236" s="25"/>
      <c r="E236" s="26"/>
      <c r="F236" s="23"/>
      <c r="G236" s="27"/>
    </row>
    <row r="237" spans="1:7">
      <c r="A237" s="4"/>
      <c r="B237" s="23"/>
      <c r="C237" s="24"/>
      <c r="D237" s="25"/>
      <c r="E237" s="26"/>
      <c r="F237" s="23"/>
      <c r="G237" s="27"/>
    </row>
    <row r="238" spans="1:7">
      <c r="A238" s="4"/>
      <c r="B238" s="23"/>
      <c r="C238" s="24"/>
      <c r="D238" s="25"/>
      <c r="E238" s="26"/>
      <c r="F238" s="23"/>
      <c r="G238" s="27"/>
    </row>
    <row r="239" spans="1:7">
      <c r="A239" s="4"/>
      <c r="B239" s="23"/>
      <c r="C239" s="24"/>
      <c r="D239" s="25"/>
      <c r="E239" s="26"/>
      <c r="F239" s="23"/>
      <c r="G239" s="27"/>
    </row>
    <row r="240" spans="1:7">
      <c r="A240" s="4"/>
      <c r="B240" s="23"/>
      <c r="C240" s="24"/>
      <c r="D240" s="25"/>
      <c r="E240" s="26"/>
      <c r="F240" s="23"/>
      <c r="G240" s="27"/>
    </row>
    <row r="241" spans="1:7">
      <c r="A241" s="4"/>
      <c r="B241" s="23"/>
      <c r="C241" s="24"/>
      <c r="D241" s="25"/>
      <c r="E241" s="26"/>
      <c r="F241" s="23"/>
      <c r="G241" s="27"/>
    </row>
    <row r="242" spans="1:7">
      <c r="A242" s="4"/>
      <c r="B242" s="23"/>
      <c r="C242" s="24"/>
      <c r="D242" s="25"/>
      <c r="E242" s="26"/>
      <c r="F242" s="23"/>
      <c r="G242" s="27"/>
    </row>
    <row r="243" spans="1:7">
      <c r="A243" s="4"/>
      <c r="B243" s="23"/>
      <c r="C243" s="24"/>
      <c r="D243" s="25"/>
      <c r="E243" s="26"/>
      <c r="F243" s="23"/>
      <c r="G243" s="27"/>
    </row>
    <row r="244" spans="1:7">
      <c r="A244" s="4"/>
      <c r="B244" s="23"/>
      <c r="C244" s="24"/>
      <c r="D244" s="25"/>
      <c r="E244" s="26"/>
      <c r="F244" s="23"/>
      <c r="G244" s="27"/>
    </row>
    <row r="245" spans="1:7">
      <c r="A245" s="4"/>
      <c r="B245" s="23"/>
      <c r="C245" s="24"/>
      <c r="D245" s="25"/>
      <c r="E245" s="26"/>
      <c r="F245" s="23"/>
      <c r="G245" s="27"/>
    </row>
    <row r="246" spans="1:7">
      <c r="A246" s="4"/>
      <c r="B246" s="23"/>
      <c r="C246" s="24"/>
      <c r="D246" s="25"/>
      <c r="E246" s="26"/>
      <c r="F246" s="23"/>
      <c r="G246" s="27"/>
    </row>
    <row r="247" spans="1:7">
      <c r="A247" s="4"/>
      <c r="B247" s="23"/>
      <c r="C247" s="24"/>
      <c r="D247" s="25"/>
      <c r="E247" s="26"/>
      <c r="F247" s="23"/>
      <c r="G247" s="27"/>
    </row>
    <row r="248" spans="1:7">
      <c r="A248" s="4"/>
      <c r="B248" s="23"/>
      <c r="C248" s="24"/>
      <c r="D248" s="25"/>
      <c r="E248" s="26"/>
      <c r="F248" s="23"/>
      <c r="G248" s="27"/>
    </row>
    <row r="249" spans="1:7">
      <c r="A249" s="4"/>
      <c r="B249" s="23"/>
      <c r="C249" s="24"/>
      <c r="D249" s="25"/>
      <c r="E249" s="26"/>
      <c r="F249" s="23"/>
      <c r="G249" s="27"/>
    </row>
    <row r="250" spans="1:7">
      <c r="A250" s="4"/>
      <c r="B250" s="23"/>
      <c r="C250" s="24"/>
      <c r="D250" s="25"/>
      <c r="E250" s="26"/>
      <c r="F250" s="23"/>
      <c r="G250" s="27"/>
    </row>
    <row r="251" spans="1:7">
      <c r="A251" s="4"/>
      <c r="B251" s="23"/>
      <c r="C251" s="24"/>
      <c r="D251" s="25"/>
      <c r="E251" s="26"/>
      <c r="F251" s="23"/>
      <c r="G251" s="27"/>
    </row>
    <row r="252" spans="1:7">
      <c r="A252" s="4"/>
      <c r="B252" s="23"/>
      <c r="C252" s="24"/>
      <c r="D252" s="25"/>
      <c r="E252" s="26"/>
      <c r="F252" s="23"/>
      <c r="G252" s="27"/>
    </row>
    <row r="253" spans="1:7">
      <c r="A253" s="4"/>
      <c r="B253" s="23"/>
      <c r="C253" s="24"/>
      <c r="D253" s="25"/>
      <c r="E253" s="26"/>
      <c r="F253" s="23"/>
      <c r="G253" s="27"/>
    </row>
    <row r="254" spans="1:7">
      <c r="A254" s="4"/>
      <c r="B254" s="23"/>
      <c r="C254" s="24"/>
      <c r="D254" s="25"/>
      <c r="E254" s="26"/>
      <c r="F254" s="23"/>
      <c r="G254" s="27"/>
    </row>
    <row r="255" spans="1:7">
      <c r="A255" s="4"/>
      <c r="B255" s="23"/>
      <c r="C255" s="24"/>
      <c r="D255" s="25"/>
      <c r="E255" s="26"/>
      <c r="F255" s="23"/>
      <c r="G255" s="27"/>
    </row>
    <row r="256" spans="1:7">
      <c r="A256" s="4"/>
      <c r="B256" s="23"/>
      <c r="C256" s="24"/>
      <c r="D256" s="25"/>
      <c r="E256" s="26"/>
      <c r="F256" s="23"/>
      <c r="G256" s="27"/>
    </row>
    <row r="257" spans="1:7">
      <c r="A257" s="4"/>
      <c r="B257" s="23"/>
      <c r="C257" s="24"/>
      <c r="D257" s="25"/>
      <c r="E257" s="26"/>
      <c r="F257" s="23"/>
      <c r="G257" s="27"/>
    </row>
    <row r="258" spans="1:7">
      <c r="A258" s="4"/>
      <c r="B258" s="23"/>
      <c r="C258" s="24"/>
      <c r="D258" s="25"/>
      <c r="E258" s="26"/>
      <c r="F258" s="23"/>
      <c r="G258" s="27"/>
    </row>
    <row r="259" spans="1:7">
      <c r="A259" s="3"/>
      <c r="B259" s="11"/>
      <c r="C259" s="12"/>
      <c r="D259" s="41"/>
      <c r="E259" s="11"/>
      <c r="F259" s="11"/>
      <c r="G259" s="15"/>
    </row>
    <row r="260" spans="1:7">
      <c r="A260" s="3"/>
      <c r="B260" s="11"/>
      <c r="C260" s="12"/>
      <c r="D260" s="41"/>
      <c r="E260" s="11"/>
      <c r="F260" s="11"/>
      <c r="G260" s="15"/>
    </row>
    <row r="261" spans="1:7">
      <c r="A261" s="3"/>
      <c r="B261" s="11"/>
      <c r="C261" s="12"/>
      <c r="D261" s="41"/>
      <c r="E261" s="11"/>
      <c r="F261" s="11"/>
      <c r="G261" s="15"/>
    </row>
    <row r="262" spans="1:7">
      <c r="A262" s="3"/>
      <c r="B262" s="11"/>
      <c r="C262" s="12"/>
      <c r="D262" s="41"/>
      <c r="E262" s="11"/>
      <c r="F262" s="11"/>
      <c r="G262" s="15"/>
    </row>
    <row r="263" spans="1:7">
      <c r="A263" s="3"/>
      <c r="B263" s="11"/>
      <c r="C263" s="12"/>
      <c r="D263" s="41"/>
      <c r="E263" s="11"/>
      <c r="F263" s="11"/>
      <c r="G263" s="15"/>
    </row>
    <row r="264" spans="1:7">
      <c r="A264" s="3"/>
      <c r="B264" s="11"/>
      <c r="C264" s="12"/>
      <c r="D264" s="41"/>
      <c r="E264" s="11"/>
      <c r="F264" s="11"/>
      <c r="G264" s="15"/>
    </row>
    <row r="265" spans="1:7">
      <c r="A265" s="3"/>
      <c r="B265" s="11"/>
      <c r="C265" s="12"/>
      <c r="D265" s="41"/>
      <c r="E265" s="11"/>
      <c r="F265" s="11"/>
      <c r="G265" s="15"/>
    </row>
    <row r="266" spans="1:7">
      <c r="A266" s="3"/>
      <c r="B266" s="11"/>
      <c r="C266" s="12"/>
      <c r="D266" s="41"/>
      <c r="E266" s="11"/>
      <c r="F266" s="11"/>
      <c r="G266" s="15"/>
    </row>
    <row r="267" spans="1:7">
      <c r="A267" s="3"/>
      <c r="B267" s="11"/>
      <c r="C267" s="12"/>
      <c r="D267" s="41"/>
      <c r="E267" s="11"/>
      <c r="F267" s="11"/>
      <c r="G267" s="15"/>
    </row>
    <row r="268" spans="1:7">
      <c r="A268" s="3"/>
      <c r="B268" s="11"/>
      <c r="C268" s="12"/>
      <c r="D268" s="41"/>
      <c r="E268" s="11"/>
      <c r="F268" s="11"/>
      <c r="G268" s="15"/>
    </row>
    <row r="269" spans="1:7">
      <c r="A269" s="3"/>
      <c r="B269" s="11"/>
      <c r="C269" s="12"/>
      <c r="D269" s="41"/>
      <c r="E269" s="11"/>
      <c r="F269" s="11"/>
      <c r="G269" s="15"/>
    </row>
    <row r="270" spans="1:7">
      <c r="A270" s="3"/>
      <c r="B270" s="11"/>
      <c r="C270" s="12"/>
      <c r="D270" s="41"/>
      <c r="E270" s="11"/>
      <c r="F270" s="11"/>
      <c r="G270" s="15"/>
    </row>
    <row r="271" spans="1:7">
      <c r="A271" s="3"/>
      <c r="B271" s="11"/>
      <c r="C271" s="12"/>
      <c r="D271" s="41"/>
      <c r="E271" s="11"/>
      <c r="F271" s="11"/>
      <c r="G271" s="15"/>
    </row>
    <row r="272" spans="1:7">
      <c r="A272" s="3"/>
      <c r="B272" s="11"/>
      <c r="C272" s="12"/>
      <c r="D272" s="41"/>
      <c r="E272" s="11"/>
      <c r="F272" s="11"/>
      <c r="G272" s="15"/>
    </row>
    <row r="273" spans="1:7">
      <c r="A273" s="3"/>
      <c r="B273" s="11"/>
      <c r="C273" s="12"/>
      <c r="D273" s="41"/>
      <c r="E273" s="11"/>
      <c r="F273" s="11"/>
      <c r="G273" s="15"/>
    </row>
    <row r="274" spans="1:7">
      <c r="A274" s="3"/>
      <c r="B274" s="11"/>
      <c r="C274" s="12"/>
      <c r="D274" s="41"/>
      <c r="E274" s="11"/>
      <c r="F274" s="11"/>
      <c r="G274" s="15"/>
    </row>
    <row r="275" spans="1:7">
      <c r="A275" s="3"/>
      <c r="B275" s="11"/>
      <c r="C275" s="12"/>
      <c r="D275" s="41"/>
      <c r="E275" s="11"/>
      <c r="F275" s="11"/>
      <c r="G275" s="15"/>
    </row>
    <row r="276" spans="1:7">
      <c r="A276" s="3"/>
      <c r="B276" s="11"/>
      <c r="C276" s="12"/>
      <c r="D276" s="41"/>
      <c r="E276" s="11"/>
      <c r="F276" s="11"/>
      <c r="G276" s="15"/>
    </row>
    <row r="277" spans="1:7">
      <c r="A277" s="3"/>
      <c r="B277" s="11"/>
      <c r="C277" s="12"/>
      <c r="D277" s="41"/>
      <c r="E277" s="11"/>
      <c r="F277" s="11"/>
      <c r="G277" s="15"/>
    </row>
    <row r="278" spans="1:7">
      <c r="A278" s="3"/>
      <c r="B278" s="11"/>
      <c r="C278" s="12"/>
      <c r="D278" s="41"/>
      <c r="E278" s="11"/>
      <c r="F278" s="11"/>
      <c r="G278" s="15"/>
    </row>
    <row r="279" spans="1:7">
      <c r="A279" s="3"/>
      <c r="B279" s="11"/>
      <c r="C279" s="12"/>
      <c r="D279" s="41"/>
      <c r="E279" s="11"/>
      <c r="F279" s="11"/>
      <c r="G279" s="15"/>
    </row>
    <row r="280" spans="1:7">
      <c r="A280" s="3"/>
      <c r="B280" s="11"/>
      <c r="C280" s="12"/>
      <c r="D280" s="41"/>
      <c r="E280" s="11"/>
      <c r="F280" s="11"/>
      <c r="G280" s="15"/>
    </row>
    <row r="281" spans="1:7">
      <c r="A281" s="3"/>
      <c r="B281" s="11"/>
      <c r="C281" s="12"/>
      <c r="D281" s="41"/>
      <c r="E281" s="11"/>
      <c r="F281" s="11"/>
      <c r="G281" s="15"/>
    </row>
    <row r="282" spans="1:7">
      <c r="A282" s="3"/>
      <c r="B282" s="11"/>
      <c r="C282" s="12"/>
      <c r="D282" s="41"/>
      <c r="E282" s="11"/>
      <c r="F282" s="11"/>
      <c r="G282" s="15"/>
    </row>
    <row r="283" spans="1:7">
      <c r="A283" s="3"/>
      <c r="B283" s="11"/>
      <c r="C283" s="12"/>
      <c r="D283" s="41"/>
      <c r="E283" s="11"/>
      <c r="F283" s="11"/>
      <c r="G283" s="15"/>
    </row>
    <row r="284" spans="1:7">
      <c r="A284" s="3"/>
      <c r="B284" s="11"/>
      <c r="C284" s="12"/>
      <c r="D284" s="41"/>
      <c r="E284" s="11"/>
      <c r="F284" s="11"/>
      <c r="G284" s="15"/>
    </row>
    <row r="285" spans="1:7">
      <c r="A285" s="3"/>
      <c r="B285" s="11"/>
      <c r="C285" s="12"/>
      <c r="D285" s="41"/>
      <c r="E285" s="11"/>
      <c r="F285" s="11"/>
      <c r="G285" s="15"/>
    </row>
    <row r="286" spans="1:7">
      <c r="A286" s="3"/>
      <c r="B286" s="11"/>
      <c r="C286" s="12"/>
      <c r="D286" s="41"/>
      <c r="E286" s="11"/>
      <c r="F286" s="11"/>
      <c r="G286" s="15"/>
    </row>
    <row r="287" spans="1:7">
      <c r="A287" s="3"/>
      <c r="B287" s="11"/>
      <c r="C287" s="12"/>
      <c r="D287" s="41"/>
      <c r="E287" s="11"/>
      <c r="F287" s="11"/>
      <c r="G287" s="15"/>
    </row>
    <row r="288" spans="1:7">
      <c r="A288" s="3"/>
      <c r="B288" s="11"/>
      <c r="C288" s="12"/>
      <c r="D288" s="41"/>
      <c r="E288" s="11"/>
      <c r="F288" s="11"/>
      <c r="G288" s="15"/>
    </row>
    <row r="289" spans="1:7">
      <c r="A289" s="4"/>
      <c r="B289" s="23"/>
      <c r="C289" s="24"/>
      <c r="D289" s="25"/>
      <c r="E289" s="26"/>
      <c r="F289" s="23"/>
      <c r="G289" s="27"/>
    </row>
    <row r="290" spans="1:7">
      <c r="A290" s="4"/>
      <c r="B290" s="23"/>
      <c r="C290" s="24"/>
      <c r="D290" s="25"/>
      <c r="E290" s="26"/>
      <c r="F290" s="23"/>
      <c r="G290" s="27"/>
    </row>
    <row r="291" spans="1:7">
      <c r="A291" s="4"/>
      <c r="B291" s="23"/>
      <c r="C291" s="24"/>
      <c r="D291" s="25"/>
      <c r="E291" s="26"/>
      <c r="F291" s="23"/>
      <c r="G291" s="27"/>
    </row>
    <row r="292" spans="1:7">
      <c r="A292" s="4"/>
      <c r="B292" s="23"/>
      <c r="C292" s="24"/>
      <c r="D292" s="25"/>
      <c r="E292" s="26"/>
      <c r="F292" s="23"/>
      <c r="G292" s="27"/>
    </row>
    <row r="293" spans="1:7">
      <c r="A293" s="4"/>
      <c r="B293" s="23"/>
      <c r="C293" s="24"/>
      <c r="D293" s="25"/>
      <c r="E293" s="26"/>
      <c r="F293" s="23"/>
      <c r="G293" s="27"/>
    </row>
    <row r="294" spans="1:7">
      <c r="A294" s="4"/>
      <c r="B294" s="23"/>
      <c r="C294" s="24"/>
      <c r="D294" s="25"/>
      <c r="E294" s="26"/>
      <c r="F294" s="23"/>
      <c r="G294" s="27"/>
    </row>
    <row r="295" spans="1:7">
      <c r="A295" s="4"/>
      <c r="B295" s="23"/>
      <c r="C295" s="24"/>
      <c r="D295" s="25"/>
      <c r="E295" s="26"/>
      <c r="F295" s="23"/>
      <c r="G295" s="27"/>
    </row>
    <row r="296" spans="1:7">
      <c r="A296" s="4"/>
      <c r="B296" s="23"/>
      <c r="C296" s="24"/>
      <c r="D296" s="25"/>
      <c r="E296" s="26"/>
      <c r="F296" s="23"/>
      <c r="G296" s="27"/>
    </row>
    <row r="297" spans="1:7">
      <c r="A297" s="4"/>
      <c r="B297" s="23"/>
      <c r="C297" s="24"/>
      <c r="D297" s="25"/>
      <c r="E297" s="26"/>
      <c r="F297" s="23"/>
      <c r="G297" s="27"/>
    </row>
    <row r="298" spans="1:7">
      <c r="A298" s="4"/>
      <c r="B298" s="23"/>
      <c r="C298" s="24"/>
      <c r="D298" s="25"/>
      <c r="E298" s="26"/>
      <c r="F298" s="23"/>
      <c r="G298" s="27"/>
    </row>
    <row r="299" spans="1:7">
      <c r="A299" s="4"/>
      <c r="B299" s="23"/>
      <c r="C299" s="24"/>
      <c r="D299" s="25"/>
      <c r="E299" s="26"/>
      <c r="F299" s="23"/>
      <c r="G299" s="27"/>
    </row>
    <row r="300" spans="1:7">
      <c r="A300" s="4"/>
      <c r="B300" s="23"/>
      <c r="C300" s="24"/>
      <c r="D300" s="25"/>
      <c r="E300" s="26"/>
      <c r="F300" s="23"/>
      <c r="G300" s="27"/>
    </row>
    <row r="301" spans="1:7">
      <c r="A301" s="4"/>
      <c r="B301" s="23"/>
      <c r="C301" s="24"/>
      <c r="D301" s="25"/>
      <c r="E301" s="26"/>
      <c r="F301" s="23"/>
      <c r="G301" s="27"/>
    </row>
    <row r="302" spans="1:7">
      <c r="A302" s="4"/>
      <c r="B302" s="23"/>
      <c r="C302" s="24"/>
      <c r="D302" s="25"/>
      <c r="E302" s="26"/>
      <c r="F302" s="23"/>
      <c r="G302" s="27"/>
    </row>
    <row r="303" spans="1:7">
      <c r="A303" s="4"/>
      <c r="B303" s="23"/>
      <c r="C303" s="24"/>
      <c r="D303" s="25"/>
      <c r="E303" s="26"/>
      <c r="F303" s="23"/>
      <c r="G303" s="27"/>
    </row>
    <row r="304" spans="1:7">
      <c r="A304" s="4"/>
      <c r="B304" s="23"/>
      <c r="C304" s="24"/>
      <c r="D304" s="25"/>
      <c r="E304" s="26"/>
      <c r="F304" s="23"/>
      <c r="G304" s="27"/>
    </row>
    <row r="305" spans="1:7">
      <c r="A305" s="4"/>
      <c r="B305" s="23"/>
      <c r="C305" s="24"/>
      <c r="D305" s="25"/>
      <c r="E305" s="26"/>
      <c r="F305" s="23"/>
      <c r="G305" s="27"/>
    </row>
    <row r="306" spans="1:7">
      <c r="A306" s="4"/>
      <c r="B306" s="23"/>
      <c r="C306" s="24"/>
      <c r="D306" s="25"/>
      <c r="E306" s="26"/>
      <c r="F306" s="23"/>
      <c r="G306" s="27"/>
    </row>
    <row r="307" spans="1:7">
      <c r="A307" s="4"/>
      <c r="B307" s="23"/>
      <c r="C307" s="24"/>
      <c r="D307" s="25"/>
      <c r="E307" s="26"/>
      <c r="F307" s="23"/>
      <c r="G307" s="27"/>
    </row>
    <row r="308" spans="1:7">
      <c r="A308" s="4"/>
      <c r="B308" s="23"/>
      <c r="C308" s="24"/>
      <c r="D308" s="25"/>
      <c r="E308" s="26"/>
      <c r="F308" s="23"/>
      <c r="G308" s="27"/>
    </row>
    <row r="309" spans="1:7">
      <c r="A309" s="4"/>
      <c r="B309" s="23"/>
      <c r="C309" s="24"/>
      <c r="D309" s="25"/>
      <c r="E309" s="26"/>
      <c r="F309" s="23"/>
      <c r="G309" s="27"/>
    </row>
    <row r="310" spans="1:7">
      <c r="A310" s="4"/>
      <c r="B310" s="23"/>
      <c r="C310" s="24"/>
      <c r="D310" s="25"/>
      <c r="E310" s="26"/>
      <c r="F310" s="23"/>
      <c r="G310" s="27"/>
    </row>
    <row r="311" spans="1:7">
      <c r="A311" s="4"/>
      <c r="B311" s="23"/>
      <c r="C311" s="24"/>
      <c r="D311" s="25"/>
      <c r="E311" s="26"/>
      <c r="F311" s="23"/>
      <c r="G311" s="27"/>
    </row>
    <row r="312" spans="1:7">
      <c r="A312" s="4"/>
      <c r="B312" s="23"/>
      <c r="C312" s="24"/>
      <c r="D312" s="25"/>
      <c r="E312" s="26"/>
      <c r="F312" s="23"/>
      <c r="G312" s="27"/>
    </row>
    <row r="313" spans="1:7">
      <c r="A313" s="4"/>
      <c r="B313" s="23"/>
      <c r="C313" s="24"/>
      <c r="D313" s="25"/>
      <c r="E313" s="26"/>
      <c r="F313" s="23"/>
      <c r="G313" s="27"/>
    </row>
    <row r="314" spans="1:7">
      <c r="A314" s="4"/>
      <c r="B314" s="23"/>
      <c r="C314" s="24"/>
      <c r="D314" s="25"/>
      <c r="E314" s="26"/>
      <c r="F314" s="23"/>
      <c r="G314" s="27"/>
    </row>
    <row r="315" spans="1:7">
      <c r="A315" s="4"/>
      <c r="B315" s="23"/>
      <c r="C315" s="24"/>
      <c r="D315" s="25"/>
      <c r="E315" s="26"/>
      <c r="F315" s="23"/>
      <c r="G315" s="27"/>
    </row>
    <row r="316" spans="1:7">
      <c r="A316" s="4"/>
      <c r="B316" s="23"/>
      <c r="C316" s="24"/>
      <c r="D316" s="25"/>
      <c r="E316" s="26"/>
      <c r="F316" s="23"/>
      <c r="G316" s="27"/>
    </row>
    <row r="317" spans="1:7">
      <c r="A317" s="4"/>
      <c r="B317" s="23"/>
      <c r="C317" s="24"/>
      <c r="D317" s="25"/>
      <c r="E317" s="26"/>
      <c r="F317" s="23"/>
      <c r="G317" s="27"/>
    </row>
    <row r="318" spans="1:7">
      <c r="A318" s="4"/>
      <c r="B318" s="23"/>
      <c r="C318" s="24"/>
      <c r="D318" s="25"/>
      <c r="E318" s="26"/>
      <c r="F318" s="23"/>
      <c r="G318" s="27"/>
    </row>
    <row r="319" spans="1:7">
      <c r="A319" s="4"/>
      <c r="B319" s="23"/>
      <c r="C319" s="24"/>
      <c r="D319" s="25"/>
      <c r="E319" s="26"/>
      <c r="F319" s="23"/>
      <c r="G319" s="27"/>
    </row>
    <row r="320" spans="1:7">
      <c r="A320" s="3"/>
      <c r="B320" s="11"/>
      <c r="C320" s="12"/>
      <c r="D320" s="13"/>
      <c r="E320" s="14"/>
      <c r="F320" s="11"/>
      <c r="G320" s="15"/>
    </row>
    <row r="321" spans="1:7">
      <c r="A321" s="3"/>
      <c r="B321" s="11"/>
      <c r="C321" s="12"/>
      <c r="D321" s="13"/>
      <c r="E321" s="14"/>
      <c r="F321" s="11"/>
      <c r="G321" s="15"/>
    </row>
    <row r="322" spans="1:7">
      <c r="A322" s="3"/>
      <c r="B322" s="11"/>
      <c r="C322" s="12"/>
      <c r="D322" s="13"/>
      <c r="E322" s="14"/>
      <c r="F322" s="11"/>
      <c r="G322" s="15"/>
    </row>
    <row r="323" spans="1:7">
      <c r="A323" s="3"/>
      <c r="B323" s="11"/>
      <c r="C323" s="12"/>
      <c r="D323" s="13"/>
      <c r="E323" s="14"/>
      <c r="F323" s="11"/>
      <c r="G323" s="15"/>
    </row>
    <row r="324" spans="1:7">
      <c r="A324" s="3"/>
      <c r="B324" s="11"/>
      <c r="C324" s="12"/>
      <c r="D324" s="13"/>
      <c r="E324" s="14"/>
      <c r="F324" s="11"/>
      <c r="G324" s="15"/>
    </row>
    <row r="325" spans="1:7">
      <c r="A325" s="3"/>
      <c r="B325" s="11"/>
      <c r="C325" s="12"/>
      <c r="D325" s="13"/>
      <c r="E325" s="14"/>
      <c r="F325" s="11"/>
      <c r="G325" s="15"/>
    </row>
    <row r="326" spans="1:7">
      <c r="A326" s="3"/>
      <c r="B326" s="11"/>
      <c r="C326" s="12"/>
      <c r="D326" s="13"/>
      <c r="E326" s="14"/>
      <c r="F326" s="11"/>
      <c r="G326" s="15"/>
    </row>
    <row r="327" spans="1:7">
      <c r="A327" s="3"/>
      <c r="B327" s="11"/>
      <c r="C327" s="12"/>
      <c r="D327" s="13"/>
      <c r="E327" s="14"/>
      <c r="F327" s="11"/>
      <c r="G327" s="15"/>
    </row>
    <row r="328" spans="1:7">
      <c r="A328" s="3"/>
      <c r="B328" s="11"/>
      <c r="C328" s="12"/>
      <c r="D328" s="13"/>
      <c r="E328" s="14"/>
      <c r="F328" s="11"/>
      <c r="G328" s="15"/>
    </row>
    <row r="329" spans="1:7">
      <c r="A329" s="3"/>
      <c r="B329" s="11"/>
      <c r="C329" s="12"/>
      <c r="D329" s="13"/>
      <c r="E329" s="14"/>
      <c r="F329" s="11"/>
      <c r="G329" s="15"/>
    </row>
    <row r="330" spans="1:7">
      <c r="A330" s="3"/>
      <c r="B330" s="11"/>
      <c r="C330" s="12"/>
      <c r="D330" s="13"/>
      <c r="E330" s="14"/>
      <c r="F330" s="11"/>
      <c r="G330" s="15"/>
    </row>
    <row r="331" spans="1:7">
      <c r="A331" s="3"/>
      <c r="B331" s="11"/>
      <c r="C331" s="12"/>
      <c r="D331" s="13"/>
      <c r="E331" s="14"/>
      <c r="F331" s="11"/>
      <c r="G331" s="15"/>
    </row>
    <row r="332" spans="1:7">
      <c r="A332" s="3"/>
      <c r="B332" s="11"/>
      <c r="C332" s="12"/>
      <c r="D332" s="13"/>
      <c r="E332" s="14"/>
      <c r="F332" s="11"/>
      <c r="G332" s="15"/>
    </row>
    <row r="333" spans="1:7">
      <c r="A333" s="3"/>
      <c r="B333" s="11"/>
      <c r="C333" s="12"/>
      <c r="D333" s="13"/>
      <c r="E333" s="14"/>
      <c r="F333" s="11"/>
      <c r="G333" s="15"/>
    </row>
    <row r="334" spans="1:7">
      <c r="A334" s="3"/>
      <c r="B334" s="11"/>
      <c r="C334" s="12"/>
      <c r="D334" s="13"/>
      <c r="E334" s="14"/>
      <c r="F334" s="11"/>
      <c r="G334" s="15"/>
    </row>
    <row r="335" spans="1:7">
      <c r="A335" s="3"/>
      <c r="B335" s="11"/>
      <c r="C335" s="12"/>
      <c r="D335" s="13"/>
      <c r="E335" s="14"/>
      <c r="F335" s="11"/>
      <c r="G335" s="15"/>
    </row>
    <row r="336" spans="1:7">
      <c r="A336" s="3"/>
      <c r="B336" s="11"/>
      <c r="C336" s="12"/>
      <c r="D336" s="13"/>
      <c r="E336" s="14"/>
      <c r="F336" s="11"/>
      <c r="G336" s="15"/>
    </row>
    <row r="337" spans="1:7">
      <c r="A337" s="3"/>
      <c r="B337" s="11"/>
      <c r="C337" s="12"/>
      <c r="D337" s="13"/>
      <c r="E337" s="14"/>
      <c r="F337" s="11"/>
      <c r="G337" s="15"/>
    </row>
    <row r="338" spans="1:7">
      <c r="A338" s="3"/>
      <c r="B338" s="11"/>
      <c r="C338" s="12"/>
      <c r="D338" s="13"/>
      <c r="E338" s="14"/>
      <c r="F338" s="11"/>
      <c r="G338" s="15"/>
    </row>
    <row r="339" spans="1:7">
      <c r="A339" s="3"/>
      <c r="B339" s="11"/>
      <c r="C339" s="12"/>
      <c r="D339" s="13"/>
      <c r="E339" s="14"/>
      <c r="F339" s="11"/>
      <c r="G339" s="15"/>
    </row>
    <row r="340" spans="1:7">
      <c r="A340" s="3"/>
      <c r="B340" s="11"/>
      <c r="C340" s="12"/>
      <c r="D340" s="13"/>
      <c r="E340" s="14"/>
      <c r="F340" s="11"/>
      <c r="G340" s="15"/>
    </row>
    <row r="341" spans="1:7">
      <c r="A341" s="3"/>
      <c r="B341" s="11"/>
      <c r="C341" s="12"/>
      <c r="D341" s="13"/>
      <c r="E341" s="14"/>
      <c r="F341" s="11"/>
      <c r="G341" s="15"/>
    </row>
    <row r="342" spans="1:7">
      <c r="A342" s="3"/>
      <c r="B342" s="11"/>
      <c r="C342" s="12"/>
      <c r="D342" s="13"/>
      <c r="E342" s="14"/>
      <c r="F342" s="11"/>
      <c r="G342" s="15"/>
    </row>
    <row r="343" spans="1:7">
      <c r="A343" s="3"/>
      <c r="B343" s="11"/>
      <c r="C343" s="12"/>
      <c r="D343" s="13"/>
      <c r="E343" s="14"/>
      <c r="F343" s="11"/>
      <c r="G343" s="15"/>
    </row>
    <row r="344" spans="1:7">
      <c r="A344" s="3"/>
      <c r="B344" s="11"/>
      <c r="C344" s="12"/>
      <c r="D344" s="13"/>
      <c r="E344" s="14"/>
      <c r="F344" s="11"/>
      <c r="G344" s="15"/>
    </row>
    <row r="345" spans="1:7">
      <c r="A345" s="3"/>
      <c r="B345" s="11"/>
      <c r="C345" s="12"/>
      <c r="D345" s="13"/>
      <c r="E345" s="14"/>
      <c r="F345" s="11"/>
      <c r="G345" s="15"/>
    </row>
    <row r="346" spans="1:7">
      <c r="A346" s="3"/>
      <c r="B346" s="11"/>
      <c r="C346" s="12"/>
      <c r="D346" s="13"/>
      <c r="E346" s="14"/>
      <c r="F346" s="11"/>
      <c r="G346" s="15"/>
    </row>
    <row r="347" spans="1:7">
      <c r="A347" s="3"/>
      <c r="B347" s="11"/>
      <c r="C347" s="12"/>
      <c r="D347" s="13"/>
      <c r="E347" s="14"/>
      <c r="F347" s="11"/>
      <c r="G347" s="15"/>
    </row>
    <row r="348" spans="1:7">
      <c r="A348" s="3"/>
      <c r="B348" s="11"/>
      <c r="C348" s="12"/>
      <c r="D348" s="13"/>
      <c r="E348" s="14"/>
      <c r="F348" s="11"/>
      <c r="G348" s="15"/>
    </row>
    <row r="349" spans="1:7">
      <c r="A349" s="3"/>
      <c r="B349" s="11"/>
      <c r="C349" s="12"/>
      <c r="D349" s="13"/>
      <c r="E349" s="14"/>
      <c r="F349" s="11"/>
      <c r="G349" s="15"/>
    </row>
    <row r="350" spans="1:7">
      <c r="A350" s="4"/>
      <c r="B350" s="23"/>
      <c r="C350" s="24"/>
      <c r="D350" s="25"/>
      <c r="E350" s="26"/>
      <c r="F350" s="23"/>
      <c r="G350" s="27"/>
    </row>
    <row r="351" spans="1:7">
      <c r="A351" s="4"/>
      <c r="B351" s="23"/>
      <c r="C351" s="24"/>
      <c r="D351" s="25"/>
      <c r="E351" s="26"/>
      <c r="F351" s="23"/>
      <c r="G351" s="27"/>
    </row>
    <row r="352" spans="1:7">
      <c r="A352" s="4"/>
      <c r="B352" s="23"/>
      <c r="C352" s="24"/>
      <c r="D352" s="25"/>
      <c r="E352" s="26"/>
      <c r="F352" s="23"/>
      <c r="G352" s="27"/>
    </row>
    <row r="353" spans="1:7">
      <c r="A353" s="4"/>
      <c r="B353" s="23"/>
      <c r="C353" s="24"/>
      <c r="D353" s="25"/>
      <c r="E353" s="26"/>
      <c r="F353" s="23"/>
      <c r="G353" s="27"/>
    </row>
    <row r="354" spans="1:7">
      <c r="A354" s="4"/>
      <c r="B354" s="23"/>
      <c r="C354" s="24"/>
      <c r="D354" s="25"/>
      <c r="E354" s="26"/>
      <c r="F354" s="23"/>
      <c r="G354" s="27"/>
    </row>
    <row r="355" spans="1:7">
      <c r="A355" s="4"/>
      <c r="B355" s="23"/>
      <c r="C355" s="24"/>
      <c r="D355" s="25"/>
      <c r="E355" s="26"/>
      <c r="F355" s="23"/>
      <c r="G355" s="27"/>
    </row>
    <row r="356" spans="1:7">
      <c r="A356" s="4"/>
      <c r="B356" s="23"/>
      <c r="C356" s="24"/>
      <c r="D356" s="25"/>
      <c r="E356" s="26"/>
      <c r="F356" s="23"/>
      <c r="G356" s="27"/>
    </row>
    <row r="357" spans="1:7">
      <c r="A357" s="4"/>
      <c r="B357" s="23"/>
      <c r="C357" s="24"/>
      <c r="D357" s="25"/>
      <c r="E357" s="26"/>
      <c r="F357" s="23"/>
      <c r="G357" s="27"/>
    </row>
    <row r="358" spans="1:7">
      <c r="A358" s="4"/>
      <c r="B358" s="23"/>
      <c r="C358" s="24"/>
      <c r="D358" s="25"/>
      <c r="E358" s="26"/>
      <c r="F358" s="23"/>
      <c r="G358" s="27"/>
    </row>
    <row r="359" spans="1:7">
      <c r="A359" s="4"/>
      <c r="B359" s="23"/>
      <c r="C359" s="24"/>
      <c r="D359" s="25"/>
      <c r="E359" s="26"/>
      <c r="F359" s="23"/>
      <c r="G359" s="27"/>
    </row>
    <row r="360" spans="1:7">
      <c r="A360" s="4"/>
      <c r="B360" s="23"/>
      <c r="C360" s="24"/>
      <c r="D360" s="25"/>
      <c r="E360" s="26"/>
      <c r="F360" s="23"/>
      <c r="G360" s="27"/>
    </row>
    <row r="361" spans="1:7">
      <c r="A361" s="4"/>
      <c r="B361" s="23"/>
      <c r="C361" s="24"/>
      <c r="D361" s="25"/>
      <c r="E361" s="26"/>
      <c r="F361" s="23"/>
      <c r="G361" s="27"/>
    </row>
    <row r="362" spans="1:7">
      <c r="A362" s="4"/>
      <c r="B362" s="23"/>
      <c r="C362" s="24"/>
      <c r="D362" s="25"/>
      <c r="E362" s="26"/>
      <c r="F362" s="23"/>
      <c r="G362" s="27"/>
    </row>
    <row r="363" spans="1:7">
      <c r="A363" s="4"/>
      <c r="B363" s="23"/>
      <c r="C363" s="24"/>
      <c r="D363" s="25"/>
      <c r="E363" s="26"/>
      <c r="F363" s="23"/>
      <c r="G363" s="27"/>
    </row>
    <row r="364" spans="1:7">
      <c r="A364" s="4"/>
      <c r="B364" s="23"/>
      <c r="C364" s="24"/>
      <c r="D364" s="25"/>
      <c r="E364" s="26"/>
      <c r="F364" s="23"/>
      <c r="G364" s="27"/>
    </row>
    <row r="365" spans="1:7">
      <c r="A365" s="4"/>
      <c r="B365" s="23"/>
      <c r="C365" s="24"/>
      <c r="D365" s="25"/>
      <c r="E365" s="26"/>
      <c r="F365" s="23"/>
      <c r="G365" s="27"/>
    </row>
    <row r="366" spans="1:7">
      <c r="A366" s="4"/>
      <c r="B366" s="23"/>
      <c r="C366" s="24"/>
      <c r="D366" s="25"/>
      <c r="E366" s="26"/>
      <c r="F366" s="23"/>
      <c r="G366" s="27"/>
    </row>
    <row r="367" spans="1:7">
      <c r="A367" s="4"/>
      <c r="B367" s="23"/>
      <c r="C367" s="24"/>
      <c r="D367" s="25"/>
      <c r="E367" s="26"/>
      <c r="F367" s="23"/>
      <c r="G367" s="27"/>
    </row>
    <row r="368" spans="1:7">
      <c r="A368" s="4"/>
      <c r="B368" s="23"/>
      <c r="C368" s="24"/>
      <c r="D368" s="25"/>
      <c r="E368" s="26"/>
      <c r="F368" s="23"/>
      <c r="G368" s="27"/>
    </row>
    <row r="369" spans="1:7">
      <c r="A369" s="4"/>
      <c r="B369" s="23"/>
      <c r="C369" s="24"/>
      <c r="D369" s="25"/>
      <c r="E369" s="26"/>
      <c r="F369" s="23"/>
      <c r="G369" s="27"/>
    </row>
    <row r="370" spans="1:7">
      <c r="A370" s="4"/>
      <c r="B370" s="23"/>
      <c r="C370" s="24"/>
      <c r="D370" s="25"/>
      <c r="E370" s="26"/>
      <c r="F370" s="23"/>
      <c r="G370" s="27"/>
    </row>
    <row r="371" spans="1:7">
      <c r="A371" s="4"/>
      <c r="B371" s="23"/>
      <c r="C371" s="24"/>
      <c r="D371" s="25"/>
      <c r="E371" s="26"/>
      <c r="F371" s="23"/>
      <c r="G371" s="27"/>
    </row>
    <row r="372" spans="1:7">
      <c r="A372" s="4"/>
      <c r="B372" s="23"/>
      <c r="C372" s="24"/>
      <c r="D372" s="25"/>
      <c r="E372" s="26"/>
      <c r="F372" s="23"/>
      <c r="G372" s="27"/>
    </row>
    <row r="373" spans="1:7">
      <c r="A373" s="4"/>
      <c r="B373" s="23"/>
      <c r="C373" s="24"/>
      <c r="D373" s="25"/>
      <c r="E373" s="26"/>
      <c r="F373" s="23"/>
      <c r="G373" s="27"/>
    </row>
    <row r="374" spans="1:7">
      <c r="A374" s="4"/>
      <c r="B374" s="23"/>
      <c r="C374" s="24"/>
      <c r="D374" s="25"/>
      <c r="E374" s="26"/>
      <c r="F374" s="23"/>
      <c r="G374" s="27"/>
    </row>
    <row r="375" spans="1:7">
      <c r="A375" s="4"/>
      <c r="B375" s="23"/>
      <c r="C375" s="24"/>
      <c r="D375" s="25"/>
      <c r="E375" s="26"/>
      <c r="F375" s="23"/>
      <c r="G375" s="27"/>
    </row>
    <row r="376" spans="1:7">
      <c r="A376" s="4"/>
      <c r="B376" s="23"/>
      <c r="C376" s="24"/>
      <c r="D376" s="25"/>
      <c r="E376" s="26"/>
      <c r="F376" s="23"/>
      <c r="G376" s="27"/>
    </row>
    <row r="377" spans="1:7">
      <c r="A377" s="4"/>
      <c r="B377" s="23"/>
      <c r="C377" s="24"/>
      <c r="D377" s="25"/>
      <c r="E377" s="26"/>
      <c r="F377" s="23"/>
      <c r="G377" s="27"/>
    </row>
    <row r="378" spans="1:7">
      <c r="A378" s="4"/>
      <c r="B378" s="23"/>
      <c r="C378" s="24"/>
      <c r="D378" s="25"/>
      <c r="E378" s="26"/>
      <c r="F378" s="23"/>
      <c r="G378" s="27"/>
    </row>
    <row r="379" spans="1:7">
      <c r="A379" s="4"/>
      <c r="B379" s="23"/>
      <c r="C379" s="24"/>
      <c r="D379" s="25"/>
      <c r="E379" s="26"/>
      <c r="F379" s="23"/>
      <c r="G379" s="27"/>
    </row>
    <row r="380" spans="1:7" ht="13.5" thickBot="1">
      <c r="A380" s="5"/>
      <c r="B380" s="28"/>
      <c r="C380" s="29"/>
      <c r="D380" s="32"/>
      <c r="E380" s="30"/>
      <c r="F380" s="28"/>
      <c r="G380" s="31"/>
    </row>
    <row r="381" spans="1:7" ht="15" customHeight="1">
      <c r="A381" s="44" t="s">
        <v>5</v>
      </c>
      <c r="B381" s="45"/>
      <c r="C381" s="45"/>
      <c r="D381" s="45"/>
      <c r="E381" s="45"/>
      <c r="F381" s="45"/>
      <c r="G381" s="45"/>
    </row>
    <row r="382" spans="1:7" ht="15" customHeight="1">
      <c r="A382" s="45"/>
      <c r="B382" s="45"/>
      <c r="C382" s="45"/>
      <c r="D382" s="45"/>
      <c r="E382" s="45"/>
      <c r="F382" s="45"/>
      <c r="G382" s="45"/>
    </row>
    <row r="383" spans="1:7" ht="15" customHeight="1">
      <c r="A383" s="45"/>
      <c r="B383" s="45"/>
      <c r="C383" s="45"/>
      <c r="D383" s="45"/>
      <c r="E383" s="45"/>
      <c r="F383" s="45"/>
      <c r="G383" s="45"/>
    </row>
    <row r="384" spans="1:7" ht="9" customHeight="1">
      <c r="A384" s="1"/>
      <c r="B384" s="2"/>
      <c r="C384" s="2"/>
      <c r="D384" s="2"/>
      <c r="E384" s="2"/>
      <c r="F384" s="2"/>
      <c r="G384" s="2"/>
    </row>
    <row r="385" spans="1:7" ht="10.5" customHeight="1">
      <c r="A385" s="1"/>
      <c r="B385" s="2"/>
      <c r="C385" s="2"/>
      <c r="D385" s="2"/>
      <c r="E385" s="2"/>
      <c r="F385" s="2"/>
      <c r="G385" s="2"/>
    </row>
    <row r="386" spans="1:7" ht="10.5" customHeight="1">
      <c r="A386" s="1"/>
      <c r="B386" s="2"/>
      <c r="C386" s="2"/>
      <c r="D386" s="2"/>
      <c r="E386" s="2"/>
      <c r="F386" s="2"/>
      <c r="G386" s="2"/>
    </row>
    <row r="387" spans="1:7" ht="10.5" customHeight="1">
      <c r="A387" s="1"/>
      <c r="B387" s="2"/>
      <c r="C387" s="2"/>
      <c r="D387" s="2"/>
      <c r="E387" s="2"/>
      <c r="F387" s="2"/>
      <c r="G387" s="2"/>
    </row>
    <row r="388" spans="1:7" ht="10.5" customHeight="1">
      <c r="A388" s="1"/>
      <c r="B388" s="2"/>
      <c r="C388" s="2"/>
      <c r="D388" s="2"/>
      <c r="E388" s="2"/>
      <c r="F388" s="2"/>
      <c r="G388" s="2"/>
    </row>
    <row r="389" spans="1:7" ht="10.5" customHeight="1">
      <c r="A389" s="1"/>
      <c r="B389" s="2"/>
      <c r="C389" s="2"/>
      <c r="D389" s="2"/>
      <c r="E389" s="2"/>
      <c r="F389" s="2"/>
      <c r="G389" s="2"/>
    </row>
    <row r="390" spans="1:7" ht="9" customHeight="1">
      <c r="A390" s="1"/>
      <c r="B390" s="2"/>
      <c r="C390" s="2"/>
      <c r="D390" s="2"/>
      <c r="E390" s="2"/>
      <c r="F390" s="2"/>
      <c r="G390" s="2"/>
    </row>
    <row r="391" spans="1:7">
      <c r="A391" s="46" t="s">
        <v>1</v>
      </c>
      <c r="B391" s="47"/>
      <c r="C391" s="47"/>
      <c r="D391" s="47"/>
      <c r="E391" s="47"/>
      <c r="F391" s="47"/>
      <c r="G391" s="47"/>
    </row>
  </sheetData>
  <mergeCells count="7">
    <mergeCell ref="A11:G11"/>
    <mergeCell ref="A1:G3"/>
    <mergeCell ref="A381:G383"/>
    <mergeCell ref="A391:G391"/>
    <mergeCell ref="A13:A14"/>
    <mergeCell ref="B12:D13"/>
    <mergeCell ref="E12:G13"/>
  </mergeCells>
  <phoneticPr fontId="3" type="noConversion"/>
  <hyperlinks>
    <hyperlink ref="A11" r:id="rId1"/>
    <hyperlink ref="A391" r:id="rId2"/>
  </hyperlinks>
  <pageMargins left="0.75" right="0.75" top="1" bottom="1" header="0.5" footer="0.5"/>
  <pageSetup paperSize="9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Fluxys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pirottes</dc:creator>
  <cp:lastModifiedBy>restaind</cp:lastModifiedBy>
  <dcterms:created xsi:type="dcterms:W3CDTF">2007-01-22T09:33:06Z</dcterms:created>
  <dcterms:modified xsi:type="dcterms:W3CDTF">2012-03-26T13:21:06Z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110059398</vt:i4>
  </property>
  <property fmtid="{D5CDD505-2E9C-101B-9397-08002B2CF9AE}" pid="3" name="_EmailSubject">
    <vt:lpwstr>Hub website: Datapublication '09</vt:lpwstr>
  </property>
  <property fmtid="{D5CDD505-2E9C-101B-9397-08002B2CF9AE}" pid="4" name="_AuthorEmail">
    <vt:lpwstr>Daisy.Restaino@fluxys.com</vt:lpwstr>
  </property>
  <property fmtid="{D5CDD505-2E9C-101B-9397-08002B2CF9AE}" pid="5" name="_AuthorEmailDisplayName">
    <vt:lpwstr>Restaino Daisy</vt:lpwstr>
  </property>
  <property fmtid="{D5CDD505-2E9C-101B-9397-08002B2CF9AE}" pid="6" name="_ReviewingToolsShownOnce">
    <vt:lpwstr/>
  </property>
</Properties>
</file>